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/Users/adele/Desktop/valorisation PDM/ecriture papier- parties/"/>
    </mc:Choice>
  </mc:AlternateContent>
  <xr:revisionPtr revIDLastSave="0" documentId="8_{79628061-8912-4ECB-8E5B-1BA1B327B16E}" xr6:coauthVersionLast="47" xr6:coauthVersionMax="47" xr10:uidLastSave="{00000000-0000-0000-0000-000000000000}"/>
  <bookViews>
    <workbookView xWindow="380" yWindow="500" windowWidth="28040" windowHeight="16500" activeTab="7" xr2:uid="{30B480F5-ED41-2745-8B42-FB9460A3D1C8}"/>
  </bookViews>
  <sheets>
    <sheet name="Monetization factors" sheetId="5" r:id="rId1"/>
    <sheet name="Production Systems Parameters" sheetId="6" r:id="rId2"/>
    <sheet name="Results" sheetId="7" r:id="rId3"/>
    <sheet name="Figures" sheetId="8" r:id="rId4"/>
    <sheet name="Environment" sheetId="1" r:id="rId5"/>
    <sheet name="Livelihoods" sheetId="2" r:id="rId6"/>
    <sheet name="Health" sheetId="3" r:id="rId7"/>
    <sheet name="Animal welfare" sheetId="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8" i="4" l="1"/>
  <c r="C50" i="4"/>
  <c r="D50" i="4"/>
  <c r="D48" i="4"/>
  <c r="D46" i="4"/>
  <c r="C46" i="4"/>
  <c r="D44" i="4"/>
  <c r="C44" i="4"/>
  <c r="J15" i="4"/>
  <c r="J17" i="4"/>
  <c r="J14" i="4"/>
  <c r="AF15" i="2"/>
  <c r="AF19" i="2"/>
  <c r="N23" i="2"/>
  <c r="AJ29" i="4"/>
  <c r="AJ32" i="4" s="1"/>
  <c r="AJ31" i="4"/>
  <c r="N245" i="3"/>
  <c r="U239" i="3"/>
  <c r="S239" i="3"/>
  <c r="Q239" i="3"/>
  <c r="O239" i="3"/>
  <c r="M239" i="3"/>
  <c r="M250" i="3" s="1"/>
  <c r="U240" i="3"/>
  <c r="S240" i="3"/>
  <c r="Q240" i="3"/>
  <c r="O240" i="3"/>
  <c r="M24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80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16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16" i="3"/>
  <c r="L207" i="3"/>
  <c r="L208" i="3"/>
  <c r="L209" i="3"/>
  <c r="L210" i="3"/>
  <c r="L211" i="3"/>
  <c r="L212" i="3"/>
  <c r="L213" i="3"/>
  <c r="L214" i="3"/>
  <c r="L215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16" i="3"/>
  <c r="AN31" i="4"/>
  <c r="AM31" i="4"/>
  <c r="AL31" i="4"/>
  <c r="AK31" i="4"/>
  <c r="AN29" i="4"/>
  <c r="AL29" i="4"/>
  <c r="AM29" i="4"/>
  <c r="AK29" i="4"/>
  <c r="AJ30" i="4"/>
  <c r="AK25" i="4"/>
  <c r="AK27" i="4" s="1"/>
  <c r="AJ25" i="4"/>
  <c r="AM25" i="4"/>
  <c r="AM27" i="4" s="1"/>
  <c r="AN25" i="4"/>
  <c r="AN27" i="4" s="1"/>
  <c r="AL25" i="4"/>
  <c r="AL27" i="4" s="1"/>
  <c r="N17" i="4"/>
  <c r="N16" i="4"/>
  <c r="N15" i="4"/>
  <c r="N20" i="4"/>
  <c r="N44" i="4" s="1"/>
  <c r="N14" i="4"/>
  <c r="N38" i="4" s="1"/>
  <c r="M20" i="4"/>
  <c r="M44" i="4" s="1"/>
  <c r="L20" i="4"/>
  <c r="L44" i="4" s="1"/>
  <c r="L17" i="4"/>
  <c r="L41" i="4" s="1"/>
  <c r="M17" i="4"/>
  <c r="M41" i="4" s="1"/>
  <c r="M16" i="4"/>
  <c r="M40" i="4" s="1"/>
  <c r="M15" i="4"/>
  <c r="M39" i="4" s="1"/>
  <c r="M14" i="4"/>
  <c r="M38" i="4" s="1"/>
  <c r="L16" i="4"/>
  <c r="L40" i="4" s="1"/>
  <c r="L15" i="4"/>
  <c r="L39" i="4" s="1"/>
  <c r="L14" i="4"/>
  <c r="L38" i="4" s="1"/>
  <c r="K20" i="4"/>
  <c r="K44" i="4" s="1"/>
  <c r="K17" i="4"/>
  <c r="K41" i="4" s="1"/>
  <c r="K16" i="4"/>
  <c r="K40" i="4" s="1"/>
  <c r="K15" i="4"/>
  <c r="K39" i="4" s="1"/>
  <c r="K14" i="4"/>
  <c r="K38" i="4" s="1"/>
  <c r="J16" i="4"/>
  <c r="J20" i="4"/>
  <c r="J44" i="4" s="1"/>
  <c r="N24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N12" i="2"/>
  <c r="N10" i="2"/>
  <c r="N11" i="2"/>
  <c r="N9" i="2"/>
  <c r="D64" i="2"/>
  <c r="O32" i="2" s="1"/>
  <c r="O31" i="2"/>
  <c r="O30" i="2"/>
  <c r="N31" i="2"/>
  <c r="O27" i="2"/>
  <c r="N27" i="2"/>
  <c r="N32" i="2"/>
  <c r="N30" i="2"/>
  <c r="O23" i="2"/>
  <c r="D63" i="2"/>
  <c r="D62" i="2"/>
  <c r="N22" i="2"/>
  <c r="O22" i="2"/>
  <c r="D39" i="2"/>
  <c r="X14" i="2"/>
  <c r="W14" i="2"/>
  <c r="X13" i="2"/>
  <c r="N17" i="2" s="1"/>
  <c r="X24" i="2"/>
  <c r="X25" i="2"/>
  <c r="X22" i="2"/>
  <c r="C163" i="2"/>
  <c r="E161" i="2"/>
  <c r="X23" i="2" s="1"/>
  <c r="C161" i="2"/>
  <c r="X21" i="2" s="1"/>
  <c r="C21" i="6"/>
  <c r="C129" i="2"/>
  <c r="E133" i="2"/>
  <c r="E130" i="2"/>
  <c r="E131" i="2"/>
  <c r="E132" i="2"/>
  <c r="C59" i="4"/>
  <c r="C58" i="4"/>
  <c r="AK30" i="4" l="1"/>
  <c r="AK32" i="4"/>
  <c r="AM30" i="4"/>
  <c r="AM32" i="4"/>
  <c r="AL30" i="4"/>
  <c r="AL32" i="4"/>
  <c r="AN30" i="4"/>
  <c r="AN32" i="4"/>
  <c r="AK35" i="4"/>
  <c r="AK34" i="4"/>
  <c r="AK36" i="4" s="1"/>
  <c r="AL35" i="4"/>
  <c r="AL34" i="4"/>
  <c r="AL36" i="4" s="1"/>
  <c r="AM35" i="4"/>
  <c r="AM34" i="4"/>
  <c r="AM36" i="4" s="1"/>
  <c r="AN35" i="4"/>
  <c r="AN34" i="4"/>
  <c r="AN36" i="4" s="1"/>
  <c r="M251" i="3"/>
  <c r="M252" i="3"/>
  <c r="AJ35" i="4"/>
  <c r="AJ34" i="4"/>
  <c r="J41" i="4"/>
  <c r="J40" i="4"/>
  <c r="J39" i="4"/>
  <c r="J38" i="4"/>
  <c r="N39" i="4"/>
  <c r="N40" i="4"/>
  <c r="N41" i="4"/>
  <c r="Y24" i="2"/>
  <c r="Y25" i="2"/>
  <c r="Y21" i="2"/>
  <c r="W34" i="2" s="1"/>
  <c r="Y23" i="2"/>
  <c r="Y34" i="2" s="1"/>
  <c r="Y22" i="2"/>
  <c r="X34" i="2" s="1"/>
  <c r="K19" i="4"/>
  <c r="K43" i="4" s="1"/>
  <c r="L19" i="4"/>
  <c r="L43" i="4" s="1"/>
  <c r="M19" i="4"/>
  <c r="M43" i="4" s="1"/>
  <c r="N19" i="4"/>
  <c r="N43" i="4" s="1"/>
  <c r="J19" i="4"/>
  <c r="J43" i="4" s="1"/>
  <c r="N16" i="2"/>
  <c r="AA33" i="2"/>
  <c r="AA34" i="2"/>
  <c r="AA32" i="2"/>
  <c r="Z33" i="2"/>
  <c r="Z32" i="2"/>
  <c r="O25" i="2"/>
  <c r="O26" i="2"/>
  <c r="O28" i="2"/>
  <c r="N28" i="2"/>
  <c r="E129" i="2"/>
  <c r="W13" i="2"/>
  <c r="AJ36" i="4" l="1"/>
  <c r="J29" i="4"/>
  <c r="J27" i="4"/>
  <c r="R17" i="4" s="1"/>
  <c r="Z17" i="4" s="1"/>
  <c r="D32" i="7" s="1"/>
  <c r="J26" i="4"/>
  <c r="R16" i="4" s="1"/>
  <c r="Z16" i="4" s="1"/>
  <c r="D31" i="7" s="1"/>
  <c r="J25" i="4"/>
  <c r="R15" i="4" s="1"/>
  <c r="Z15" i="4" s="1"/>
  <c r="D30" i="7" s="1"/>
  <c r="J24" i="4"/>
  <c r="R14" i="4" s="1"/>
  <c r="K24" i="4"/>
  <c r="S14" i="4" s="1"/>
  <c r="AA14" i="4" s="1"/>
  <c r="E29" i="7" s="1"/>
  <c r="K25" i="4"/>
  <c r="S15" i="4" s="1"/>
  <c r="AA15" i="4" s="1"/>
  <c r="E30" i="7" s="1"/>
  <c r="K26" i="4"/>
  <c r="S16" i="4" s="1"/>
  <c r="AA16" i="4" s="1"/>
  <c r="E31" i="7" s="1"/>
  <c r="K27" i="4"/>
  <c r="S17" i="4" s="1"/>
  <c r="AA17" i="4" s="1"/>
  <c r="E32" i="7" s="1"/>
  <c r="L24" i="4"/>
  <c r="T14" i="4" s="1"/>
  <c r="AB14" i="4" s="1"/>
  <c r="F29" i="7" s="1"/>
  <c r="L25" i="4"/>
  <c r="T15" i="4" s="1"/>
  <c r="AB15" i="4" s="1"/>
  <c r="F30" i="7" s="1"/>
  <c r="L26" i="4"/>
  <c r="T16" i="4" s="1"/>
  <c r="AB16" i="4" s="1"/>
  <c r="F31" i="7" s="1"/>
  <c r="M24" i="4"/>
  <c r="U14" i="4" s="1"/>
  <c r="AC14" i="4" s="1"/>
  <c r="G29" i="7" s="1"/>
  <c r="M25" i="4"/>
  <c r="U15" i="4" s="1"/>
  <c r="AC15" i="4" s="1"/>
  <c r="G30" i="7" s="1"/>
  <c r="M26" i="4"/>
  <c r="U16" i="4" s="1"/>
  <c r="AC16" i="4" s="1"/>
  <c r="G31" i="7" s="1"/>
  <c r="M27" i="4"/>
  <c r="U17" i="4" s="1"/>
  <c r="AC17" i="4" s="1"/>
  <c r="G32" i="7" s="1"/>
  <c r="L27" i="4"/>
  <c r="T17" i="4" s="1"/>
  <c r="AB17" i="4" s="1"/>
  <c r="F32" i="7" s="1"/>
  <c r="N24" i="4"/>
  <c r="V14" i="4" s="1"/>
  <c r="AD14" i="4" s="1"/>
  <c r="H29" i="7" s="1"/>
  <c r="N25" i="4"/>
  <c r="V15" i="4" s="1"/>
  <c r="AD15" i="4" s="1"/>
  <c r="H30" i="7" s="1"/>
  <c r="N26" i="4"/>
  <c r="V16" i="4" s="1"/>
  <c r="AD16" i="4" s="1"/>
  <c r="H31" i="7" s="1"/>
  <c r="N27" i="4"/>
  <c r="V17" i="4" s="1"/>
  <c r="AD17" i="4" s="1"/>
  <c r="H32" i="7" s="1"/>
  <c r="N29" i="4"/>
  <c r="M29" i="4"/>
  <c r="L29" i="4"/>
  <c r="K29" i="4"/>
  <c r="N29" i="2"/>
  <c r="O29" i="2"/>
  <c r="X32" i="2"/>
  <c r="Z34" i="2"/>
  <c r="O24" i="2"/>
  <c r="W32" i="2"/>
  <c r="Y32" i="2"/>
  <c r="W33" i="2"/>
  <c r="Y33" i="2"/>
  <c r="X33" i="2"/>
  <c r="Z14" i="4" l="1"/>
  <c r="D29" i="7" s="1"/>
  <c r="S19" i="4"/>
  <c r="AA19" i="4" s="1"/>
  <c r="K28" i="4"/>
  <c r="S18" i="4" s="1"/>
  <c r="AA18" i="4" s="1"/>
  <c r="E33" i="7" s="1"/>
  <c r="D41" i="7" s="1"/>
  <c r="T19" i="4"/>
  <c r="AB19" i="4" s="1"/>
  <c r="L28" i="4"/>
  <c r="T18" i="4" s="1"/>
  <c r="AB18" i="4" s="1"/>
  <c r="F33" i="7" s="1"/>
  <c r="E41" i="7" s="1"/>
  <c r="U19" i="4"/>
  <c r="AC19" i="4" s="1"/>
  <c r="M28" i="4"/>
  <c r="U18" i="4" s="1"/>
  <c r="AC18" i="4" s="1"/>
  <c r="G33" i="7" s="1"/>
  <c r="F41" i="7" s="1"/>
  <c r="V19" i="4"/>
  <c r="AD19" i="4" s="1"/>
  <c r="N28" i="4"/>
  <c r="V18" i="4" s="1"/>
  <c r="AD18" i="4" s="1"/>
  <c r="H33" i="7" s="1"/>
  <c r="G41" i="7" s="1"/>
  <c r="R19" i="4"/>
  <c r="Z19" i="4" s="1"/>
  <c r="J28" i="4"/>
  <c r="R18" i="4" s="1"/>
  <c r="Z18" i="4" s="1"/>
  <c r="D33" i="7" s="1"/>
  <c r="C41" i="7" s="1"/>
  <c r="I7" i="5"/>
  <c r="I8" i="5"/>
  <c r="I9" i="5"/>
  <c r="I11" i="5"/>
  <c r="I12" i="5"/>
  <c r="I13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6" i="5"/>
  <c r="G14" i="5"/>
  <c r="I14" i="5" s="1"/>
  <c r="G10" i="5"/>
  <c r="I10" i="5" s="1"/>
  <c r="AN40" i="4" l="1"/>
  <c r="AM40" i="4"/>
  <c r="AL40" i="4"/>
  <c r="AK40" i="4"/>
  <c r="AN39" i="4"/>
  <c r="AM39" i="4"/>
  <c r="AL39" i="4"/>
  <c r="AK39" i="4"/>
  <c r="AN38" i="4"/>
  <c r="AM38" i="4"/>
  <c r="AL38" i="4"/>
  <c r="AK38" i="4"/>
  <c r="AJ40" i="4"/>
  <c r="V14" i="3"/>
  <c r="AJ39" i="4"/>
  <c r="AJ38" i="4"/>
  <c r="P17" i="1"/>
  <c r="H16" i="7" s="1"/>
  <c r="O17" i="1"/>
  <c r="G16" i="7" s="1"/>
  <c r="N17" i="1"/>
  <c r="F16" i="7" s="1"/>
  <c r="M17" i="1"/>
  <c r="E16" i="7" s="1"/>
  <c r="L17" i="1"/>
  <c r="D16" i="7" s="1"/>
  <c r="P13" i="1"/>
  <c r="H12" i="7" s="1"/>
  <c r="O13" i="1"/>
  <c r="G12" i="7" s="1"/>
  <c r="N13" i="1"/>
  <c r="F12" i="7" s="1"/>
  <c r="M13" i="1"/>
  <c r="E12" i="7" s="1"/>
  <c r="L13" i="1"/>
  <c r="D12" i="7" s="1"/>
  <c r="L8" i="1"/>
  <c r="P8" i="1"/>
  <c r="O8" i="1"/>
  <c r="N8" i="1"/>
  <c r="M8" i="1"/>
  <c r="E28" i="7"/>
  <c r="D40" i="7" s="1"/>
  <c r="F28" i="7"/>
  <c r="E40" i="7" s="1"/>
  <c r="G28" i="7"/>
  <c r="F40" i="7" s="1"/>
  <c r="H28" i="7"/>
  <c r="G40" i="7" s="1"/>
  <c r="D28" i="7"/>
  <c r="C40" i="7" s="1"/>
  <c r="AG18" i="2"/>
  <c r="E27" i="7" s="1"/>
  <c r="AH18" i="2"/>
  <c r="F27" i="7" s="1"/>
  <c r="AF18" i="2"/>
  <c r="D27" i="7" s="1"/>
  <c r="AJ18" i="2"/>
  <c r="H27" i="7" s="1"/>
  <c r="AI18" i="2"/>
  <c r="G27" i="7" s="1"/>
  <c r="AG17" i="2"/>
  <c r="E26" i="7" s="1"/>
  <c r="AH17" i="2"/>
  <c r="F26" i="7" s="1"/>
  <c r="AF17" i="2"/>
  <c r="D26" i="7" s="1"/>
  <c r="AJ17" i="2"/>
  <c r="H26" i="7" s="1"/>
  <c r="AI17" i="2"/>
  <c r="G26" i="7" s="1"/>
  <c r="AG16" i="2"/>
  <c r="E25" i="7" s="1"/>
  <c r="D63" i="7" s="1"/>
  <c r="AH16" i="2"/>
  <c r="F25" i="7" s="1"/>
  <c r="E63" i="7" s="1"/>
  <c r="AF16" i="2"/>
  <c r="D25" i="7" s="1"/>
  <c r="C63" i="7" s="1"/>
  <c r="AJ16" i="2"/>
  <c r="H25" i="7" s="1"/>
  <c r="G63" i="7" s="1"/>
  <c r="AI16" i="2"/>
  <c r="G25" i="7" s="1"/>
  <c r="F63" i="7" s="1"/>
  <c r="AJ14" i="2"/>
  <c r="H23" i="7" s="1"/>
  <c r="AI14" i="2"/>
  <c r="G23" i="7" s="1"/>
  <c r="AG14" i="2"/>
  <c r="E23" i="7" s="1"/>
  <c r="AH14" i="2"/>
  <c r="F23" i="7" s="1"/>
  <c r="AF14" i="2"/>
  <c r="D23" i="7" s="1"/>
  <c r="AJ15" i="2"/>
  <c r="AI15" i="2"/>
  <c r="AG15" i="2"/>
  <c r="E24" i="7" s="1"/>
  <c r="AH15" i="2"/>
  <c r="F24" i="7" s="1"/>
  <c r="D24" i="7"/>
  <c r="AI13" i="2"/>
  <c r="G22" i="7" s="1"/>
  <c r="AJ13" i="2"/>
  <c r="H22" i="7" s="1"/>
  <c r="AG13" i="2"/>
  <c r="E22" i="7" s="1"/>
  <c r="D60" i="7" s="1"/>
  <c r="AH13" i="2"/>
  <c r="F22" i="7" s="1"/>
  <c r="E60" i="7" s="1"/>
  <c r="AF13" i="2"/>
  <c r="D22" i="7" s="1"/>
  <c r="C60" i="7" s="1"/>
  <c r="AG10" i="2"/>
  <c r="E19" i="7" s="1"/>
  <c r="AH10" i="2"/>
  <c r="F19" i="7" s="1"/>
  <c r="AF10" i="2"/>
  <c r="D19" i="7" s="1"/>
  <c r="AI10" i="2"/>
  <c r="G19" i="7" s="1"/>
  <c r="AJ10" i="2"/>
  <c r="H19" i="7" s="1"/>
  <c r="AG12" i="2"/>
  <c r="E21" i="7" s="1"/>
  <c r="AH12" i="2"/>
  <c r="F21" i="7" s="1"/>
  <c r="AF12" i="2"/>
  <c r="D21" i="7" s="1"/>
  <c r="AJ12" i="2"/>
  <c r="H21" i="7" s="1"/>
  <c r="AI12" i="2"/>
  <c r="G21" i="7" s="1"/>
  <c r="AI11" i="2"/>
  <c r="G20" i="7" s="1"/>
  <c r="AJ11" i="2"/>
  <c r="H20" i="7" s="1"/>
  <c r="AG11" i="2"/>
  <c r="E20" i="7" s="1"/>
  <c r="AH11" i="2"/>
  <c r="F20" i="7" s="1"/>
  <c r="AF11" i="2"/>
  <c r="D20" i="7" s="1"/>
  <c r="AI9" i="2"/>
  <c r="G18" i="7" s="1"/>
  <c r="F62" i="7" s="1"/>
  <c r="AJ9" i="2"/>
  <c r="H18" i="7" s="1"/>
  <c r="G62" i="7" s="1"/>
  <c r="AF9" i="2"/>
  <c r="D18" i="7" s="1"/>
  <c r="C62" i="7" s="1"/>
  <c r="AH9" i="2"/>
  <c r="F18" i="7" s="1"/>
  <c r="E62" i="7" s="1"/>
  <c r="AG9" i="2"/>
  <c r="E18" i="7" s="1"/>
  <c r="D62" i="7" s="1"/>
  <c r="AI8" i="2"/>
  <c r="G17" i="7" s="1"/>
  <c r="AJ8" i="2"/>
  <c r="H17" i="7" s="1"/>
  <c r="AF8" i="2"/>
  <c r="D17" i="7" s="1"/>
  <c r="AH8" i="2"/>
  <c r="F17" i="7" s="1"/>
  <c r="AG8" i="2"/>
  <c r="E17" i="7" s="1"/>
  <c r="P14" i="1"/>
  <c r="H13" i="7" s="1"/>
  <c r="G49" i="7" s="1"/>
  <c r="O14" i="1"/>
  <c r="G13" i="7" s="1"/>
  <c r="F49" i="7" s="1"/>
  <c r="N14" i="1"/>
  <c r="F13" i="7" s="1"/>
  <c r="E49" i="7" s="1"/>
  <c r="M14" i="1"/>
  <c r="E13" i="7" s="1"/>
  <c r="D49" i="7" s="1"/>
  <c r="L14" i="1"/>
  <c r="D13" i="7" s="1"/>
  <c r="C49" i="7" s="1"/>
  <c r="P11" i="1"/>
  <c r="H10" i="7" s="1"/>
  <c r="G51" i="7" s="1"/>
  <c r="O11" i="1"/>
  <c r="G10" i="7" s="1"/>
  <c r="F51" i="7" s="1"/>
  <c r="N11" i="1"/>
  <c r="F10" i="7" s="1"/>
  <c r="E51" i="7" s="1"/>
  <c r="M11" i="1"/>
  <c r="E10" i="7" s="1"/>
  <c r="D51" i="7" s="1"/>
  <c r="L11" i="1"/>
  <c r="D10" i="7" s="1"/>
  <c r="C51" i="7" s="1"/>
  <c r="P10" i="1"/>
  <c r="H9" i="7" s="1"/>
  <c r="O10" i="1"/>
  <c r="G9" i="7" s="1"/>
  <c r="N10" i="1"/>
  <c r="F9" i="7" s="1"/>
  <c r="M10" i="1"/>
  <c r="E9" i="7" s="1"/>
  <c r="L10" i="1"/>
  <c r="D9" i="7" s="1"/>
  <c r="P16" i="1"/>
  <c r="H15" i="7" s="1"/>
  <c r="G50" i="7" s="1"/>
  <c r="O16" i="1"/>
  <c r="G15" i="7" s="1"/>
  <c r="F50" i="7" s="1"/>
  <c r="N16" i="1"/>
  <c r="F15" i="7" s="1"/>
  <c r="E50" i="7" s="1"/>
  <c r="M16" i="1"/>
  <c r="E15" i="7" s="1"/>
  <c r="D50" i="7" s="1"/>
  <c r="L16" i="1"/>
  <c r="D15" i="7" s="1"/>
  <c r="C50" i="7" s="1"/>
  <c r="P15" i="1"/>
  <c r="H14" i="7" s="1"/>
  <c r="O15" i="1"/>
  <c r="G14" i="7" s="1"/>
  <c r="N15" i="1"/>
  <c r="F14" i="7" s="1"/>
  <c r="M15" i="1"/>
  <c r="E14" i="7" s="1"/>
  <c r="L15" i="1"/>
  <c r="D14" i="7" s="1"/>
  <c r="P9" i="1"/>
  <c r="H8" i="7" s="1"/>
  <c r="G52" i="7" s="1"/>
  <c r="O9" i="1"/>
  <c r="G8" i="7" s="1"/>
  <c r="F52" i="7" s="1"/>
  <c r="N9" i="1"/>
  <c r="F8" i="7" s="1"/>
  <c r="E52" i="7" s="1"/>
  <c r="M9" i="1"/>
  <c r="E8" i="7" s="1"/>
  <c r="D52" i="7" s="1"/>
  <c r="L9" i="1"/>
  <c r="D8" i="7" s="1"/>
  <c r="C52" i="7" s="1"/>
  <c r="P12" i="1"/>
  <c r="H11" i="7" s="1"/>
  <c r="G53" i="7" s="1"/>
  <c r="O12" i="1"/>
  <c r="G11" i="7" s="1"/>
  <c r="F53" i="7" s="1"/>
  <c r="N12" i="1"/>
  <c r="F11" i="7" s="1"/>
  <c r="E53" i="7" s="1"/>
  <c r="M12" i="1"/>
  <c r="E11" i="7" s="1"/>
  <c r="D53" i="7" s="1"/>
  <c r="L12" i="1"/>
  <c r="D11" i="7" s="1"/>
  <c r="C53" i="7" s="1"/>
  <c r="AG19" i="2"/>
  <c r="AH19" i="2"/>
  <c r="D61" i="7" l="1"/>
  <c r="D39" i="7"/>
  <c r="E61" i="7"/>
  <c r="E39" i="7"/>
  <c r="C39" i="7"/>
  <c r="C61" i="7"/>
  <c r="G61" i="7"/>
  <c r="F61" i="7"/>
  <c r="G59" i="7"/>
  <c r="F59" i="7"/>
  <c r="C59" i="7"/>
  <c r="E59" i="7"/>
  <c r="D59" i="7"/>
  <c r="AI19" i="2"/>
  <c r="G24" i="7"/>
  <c r="AJ19" i="2"/>
  <c r="H24" i="7"/>
  <c r="M18" i="1"/>
  <c r="E7" i="7"/>
  <c r="N18" i="1"/>
  <c r="F7" i="7"/>
  <c r="O18" i="1"/>
  <c r="G7" i="7"/>
  <c r="P18" i="1"/>
  <c r="H7" i="7"/>
  <c r="L18" i="1"/>
  <c r="D7" i="7"/>
  <c r="C48" i="7"/>
  <c r="D48" i="7"/>
  <c r="E48" i="7"/>
  <c r="F48" i="7"/>
  <c r="G48" i="7"/>
  <c r="C38" i="7" l="1"/>
  <c r="C42" i="7" s="1"/>
  <c r="C54" i="7"/>
  <c r="G54" i="7"/>
  <c r="G38" i="7"/>
  <c r="F54" i="7"/>
  <c r="F38" i="7"/>
  <c r="E54" i="7"/>
  <c r="E38" i="7"/>
  <c r="E42" i="7" s="1"/>
  <c r="D54" i="7"/>
  <c r="D38" i="7"/>
  <c r="D42" i="7" s="1"/>
  <c r="G39" i="7"/>
  <c r="G60" i="7"/>
  <c r="F39" i="7"/>
  <c r="F60" i="7"/>
  <c r="F42" i="7" l="1"/>
  <c r="G42" i="7"/>
</calcChain>
</file>

<file path=xl/sharedStrings.xml><?xml version="1.0" encoding="utf-8"?>
<sst xmlns="http://schemas.openxmlformats.org/spreadsheetml/2006/main" count="1249" uniqueCount="589">
  <si>
    <t>Monetization factors :</t>
  </si>
  <si>
    <t>Table 2 : Overview of the impacts considered across the five assessed categories, associated indicators, valuation methods, monetization methods and factors, and their sources</t>
  </si>
  <si>
    <t>Category</t>
  </si>
  <si>
    <t>Impacts</t>
  </si>
  <si>
    <t>Indicators</t>
  </si>
  <si>
    <t>Valuation methods</t>
  </si>
  <si>
    <t>Monetization methods</t>
  </si>
  <si>
    <t>Original Monetization factors</t>
  </si>
  <si>
    <t>Original unit</t>
  </si>
  <si>
    <t>Value used in this study</t>
  </si>
  <si>
    <t>Unit</t>
  </si>
  <si>
    <t>Monetization factors source</t>
  </si>
  <si>
    <t>Environment</t>
  </si>
  <si>
    <t>Fine particulate matter formation</t>
  </si>
  <si>
    <t>kg PM2.5eq</t>
  </si>
  <si>
    <t>LCA</t>
  </si>
  <si>
    <t>Compensation</t>
  </si>
  <si>
    <t>EUR 2022/kg PM2.5eq</t>
  </si>
  <si>
    <t>CHF/kg PM2.5eq</t>
  </si>
  <si>
    <t>True Price Foundation (2023)</t>
  </si>
  <si>
    <t>Global warming</t>
  </si>
  <si>
    <t>kg CO2 eq</t>
  </si>
  <si>
    <t>Restoration</t>
  </si>
  <si>
    <t>EUR 2022/kg CO2 eq</t>
  </si>
  <si>
    <t>CHF/kg CO2 eq</t>
  </si>
  <si>
    <t>Fossil resource scarcity</t>
  </si>
  <si>
    <t>kg oil eq</t>
  </si>
  <si>
    <t>EUR 2022/kg oil eq</t>
  </si>
  <si>
    <t>CHF/kg oil eq</t>
  </si>
  <si>
    <t>Mineral resource scarcity</t>
  </si>
  <si>
    <t>kg Cu eq</t>
  </si>
  <si>
    <t>EUR 2022/kg Cu eq</t>
  </si>
  <si>
    <t>CHF/kg Cu eq</t>
  </si>
  <si>
    <t>Terrestrial ecotoxicity</t>
  </si>
  <si>
    <t>kg 1,4-DCB eq</t>
  </si>
  <si>
    <t>EUR 2022/kg 1,4-DCB eq</t>
  </si>
  <si>
    <t>CHF/kg 1,4-DCB eq</t>
  </si>
  <si>
    <t>Terrestrial acidification</t>
  </si>
  <si>
    <t>kg SO2 eq</t>
  </si>
  <si>
    <t>EUR 2022/kg SO2 eq</t>
  </si>
  <si>
    <t>CHF/kg SO2 eq</t>
  </si>
  <si>
    <t>Freshwater ecotoxicity</t>
  </si>
  <si>
    <t>Freshwater eutrophication</t>
  </si>
  <si>
    <t>kg P eq</t>
  </si>
  <si>
    <t>Compensation &amp; restoration</t>
  </si>
  <si>
    <t>EUR 2022/kg P eq</t>
  </si>
  <si>
    <t>CHF/kg P eq</t>
  </si>
  <si>
    <t>Marine ecotoxicity</t>
  </si>
  <si>
    <t>Marine eutrophication</t>
  </si>
  <si>
    <t>kg N eq</t>
  </si>
  <si>
    <t>EUR 2022/kg N eq</t>
  </si>
  <si>
    <t>CHF/kg N eq</t>
  </si>
  <si>
    <t>Livelihoods</t>
  </si>
  <si>
    <t>Gender wage gap</t>
  </si>
  <si>
    <t>CHF</t>
  </si>
  <si>
    <t>Own methodology</t>
  </si>
  <si>
    <t>EUR 2022/EUR 2022</t>
  </si>
  <si>
    <t>CHF/CHF</t>
  </si>
  <si>
    <t>Statutory nominal gross wage gap</t>
  </si>
  <si>
    <t>Children 5–11 in non-hazardous work</t>
  </si>
  <si>
    <t>%a</t>
  </si>
  <si>
    <t>Restoration and retribution</t>
  </si>
  <si>
    <t>EUR 2022/FTEchild</t>
  </si>
  <si>
    <t>CHF/FTEchild</t>
  </si>
  <si>
    <t>Children 12–14 in non-hazardous work</t>
  </si>
  <si>
    <t>Children 5–14 in hazardous work</t>
  </si>
  <si>
    <t>Absence of social security</t>
  </si>
  <si>
    <t>Retribution</t>
  </si>
  <si>
    <t>EUR 2022/FTE</t>
  </si>
  <si>
    <t>CHF/FTE</t>
  </si>
  <si>
    <t>Denied maternity leave</t>
  </si>
  <si>
    <t>Workers without maternity leave</t>
  </si>
  <si>
    <t>Insured non-fatal incidents</t>
  </si>
  <si>
    <t>y^-1</t>
  </si>
  <si>
    <t>EUR 2022/incident</t>
  </si>
  <si>
    <t>CHF/incident</t>
  </si>
  <si>
    <t>Uninsured non-fatal incidents</t>
  </si>
  <si>
    <t>Fatal incidents</t>
  </si>
  <si>
    <t>Health</t>
  </si>
  <si>
    <t>Dietary impact of meat consumption</t>
  </si>
  <si>
    <t>DALYs</t>
  </si>
  <si>
    <t>Crosnier et al (2025)</t>
  </si>
  <si>
    <t>EUR 2022/DALY</t>
  </si>
  <si>
    <t>CHF/DALY</t>
  </si>
  <si>
    <t>True Cost Initiative, TMG and Soil More Impacts (2014)</t>
  </si>
  <si>
    <t>Animal welfare</t>
  </si>
  <si>
    <t>Welfare impairments</t>
  </si>
  <si>
    <t>AQALY</t>
  </si>
  <si>
    <t>Espinosa et al (2025)</t>
  </si>
  <si>
    <t>CHF/QALY</t>
  </si>
  <si>
    <t>Pavic et al. (2014)</t>
  </si>
  <si>
    <t>{a} Proportion of agricultural work performed by people exposed to impact j</t>
  </si>
  <si>
    <t>Sources :</t>
  </si>
  <si>
    <t xml:space="preserve">True Cost Initiative and TMG and Soil More Impacts , 2022. True cost accounting agrifood handbook. </t>
  </si>
  <si>
    <t>URL: https://tca2f.org/wp-content/uploads/2022/03/TCA_Agrifood_Handbook.pdf</t>
  </si>
  <si>
    <t xml:space="preserve">True Price Foundation, 2023. Monetisation Factors for True Pricing. Technical Report. True Price Foundation. </t>
  </si>
  <si>
    <t>URL: https://www.trueprice.org/publications/monitisation-factors-for-true-pricing/</t>
  </si>
  <si>
    <t>Pavic, M., Pfeil, A.M., Szucs, T.D., 2014. Estimating the potential annual welfare impact of innovative drugs in use in switzerland. Frontiers in Public Health 2, 48.</t>
  </si>
  <si>
    <t>doi:10.3389/fpubh.2014.00048</t>
  </si>
  <si>
    <t>Exchange rates :</t>
  </si>
  <si>
    <t>Table 1 (Appendix A.2) : Annual exchange rates used to convert monetisation factors into Swiss Francs (CHF)</t>
  </si>
  <si>
    <t>Year</t>
  </si>
  <si>
    <t>Rate</t>
  </si>
  <si>
    <t>Source</t>
  </si>
  <si>
    <t>EUR per CHF</t>
  </si>
  <si>
    <t xml:space="preserve">World Bank, Official exchange rate </t>
  </si>
  <si>
    <t>CHF per USD</t>
  </si>
  <si>
    <t>World Bank. Official exchange rate (LCU per US$, period average). World Development Indicators.Data from the International Financial Statistics database, International Monetary Fund. 2022</t>
  </si>
  <si>
    <t xml:space="preserve">URL : https://data.worldbank.org/indicator/PA.NUS.FCRF </t>
  </si>
  <si>
    <t>Production systems parameters :</t>
  </si>
  <si>
    <t>Table 1  : Parameters characterizing production systems and used in the impact assessment.</t>
  </si>
  <si>
    <t>Production system</t>
  </si>
  <si>
    <t>Final live weight [kg]</t>
  </si>
  <si>
    <t>Pasture time [month]</t>
  </si>
  <si>
    <t>Feedlot time [month]</t>
  </si>
  <si>
    <t>Sources</t>
  </si>
  <si>
    <t>Swiss Intensive</t>
  </si>
  <si>
    <t>Morel et al. (2021)</t>
  </si>
  <si>
    <t>Swiss Semi-intensive</t>
  </si>
  <si>
    <t>Swiss Extensive</t>
  </si>
  <si>
    <t>Uruguayan Semi-intensive</t>
  </si>
  <si>
    <t>FAO and NZAGRC (2017)</t>
  </si>
  <si>
    <t>Uruguayan Extensive</t>
  </si>
  <si>
    <t xml:space="preserve">Morel, I., Oberson, J.L., Schlegel, P., Chassot, A., Lehmann, E., Kessler, J., 2021. Apports alimentaires recommandés pour le bovin à l’engrais, 
</t>
  </si>
  <si>
    <t xml:space="preserve">in: Apports alimentaires recommandés pour les ruminants (Livre vert). Agroscope. chapter 10. </t>
  </si>
  <si>
    <t>https://www.agroscope.ch/livre-vert</t>
  </si>
  <si>
    <t xml:space="preserve">FAO, NZAGRC, 2017. Low emissions development of the beef cattle sector in uruguay. </t>
  </si>
  <si>
    <t>https://www.ccacoalition.org/resources/low-emissions-development-beef-cattle-sector-uruguay</t>
  </si>
  <si>
    <t>Yield  (live weight - edible meat)</t>
  </si>
  <si>
    <t>[%]</t>
  </si>
  <si>
    <t>Source:</t>
  </si>
  <si>
    <t>Verheyen, L.A.H.M., Wiersema, D., Hulshoff-Pol, L.W., Brandjes, P., Westra, P.J., Bos, J.F.F.P., Jansen, J.C.M., 1996.</t>
  </si>
  <si>
    <t xml:space="preserve"> Management of Waste from Animal Product Processing. Food and Agriculture Organization of the United Nations (FAO). </t>
  </si>
  <si>
    <t>chapter II: Slaughterhouses. section 2.1.2: Quantities of by-products.</t>
  </si>
  <si>
    <t>https://openknowledge.fao.org/items/05ea9fcc-c0ff-459c-b40e-0883e59c9b1a</t>
  </si>
  <si>
    <t>Results :</t>
  </si>
  <si>
    <t xml:space="preserve">Results : Hidden costs per indicator </t>
  </si>
  <si>
    <r>
      <rPr>
        <b/>
        <sz val="12"/>
        <color rgb="FF000000"/>
        <rFont val="Aptos Narrow"/>
        <scheme val="minor"/>
      </rPr>
      <t xml:space="preserve">Hidden cost </t>
    </r>
    <r>
      <rPr>
        <i/>
        <sz val="12"/>
        <color rgb="FF000000"/>
        <rFont val="Aptos Narrow"/>
        <scheme val="minor"/>
      </rPr>
      <t>[CHF/kg]</t>
    </r>
  </si>
  <si>
    <t>Intensive - Switzerland</t>
  </si>
  <si>
    <t>Semi-Intensive - Switzerland</t>
  </si>
  <si>
    <t>Extensive - Switzerland</t>
  </si>
  <si>
    <t>Semi-Itensive - Uruguay</t>
  </si>
  <si>
    <t>Extensive - Uruguay</t>
  </si>
  <si>
    <t>Welfare impairements in Nutrition</t>
  </si>
  <si>
    <t>Welfare impairements in Environment</t>
  </si>
  <si>
    <t>Welfare impairements in Health</t>
  </si>
  <si>
    <t>Welfare impairements in Behaviour</t>
  </si>
  <si>
    <t>Premature Mortality</t>
  </si>
  <si>
    <t xml:space="preserve">Results : Hidden costs per impact category </t>
  </si>
  <si>
    <r>
      <rPr>
        <b/>
        <sz val="12"/>
        <color rgb="FF000000"/>
        <rFont val="Aptos Narrow"/>
        <scheme val="minor"/>
      </rPr>
      <t>Hidden cost</t>
    </r>
    <r>
      <rPr>
        <sz val="12"/>
        <color rgb="FF000000"/>
        <rFont val="Aptos Narrow"/>
        <scheme val="minor"/>
      </rPr>
      <t xml:space="preserve"> </t>
    </r>
    <r>
      <rPr>
        <i/>
        <sz val="12"/>
        <color rgb="FF000000"/>
        <rFont val="Aptos Narrow"/>
        <scheme val="minor"/>
      </rPr>
      <t>[CHF/kg]</t>
    </r>
  </si>
  <si>
    <t>TOT</t>
  </si>
  <si>
    <t>Results : Environmental Hidden costs (aggragated)</t>
  </si>
  <si>
    <t>Others</t>
  </si>
  <si>
    <t>Results : Livelihoods Hidden costs (aggragated)</t>
  </si>
  <si>
    <t>Child labour</t>
  </si>
  <si>
    <t>Workers rights</t>
  </si>
  <si>
    <t>Wage gap (minimum wage)</t>
  </si>
  <si>
    <t>Occupational safety</t>
  </si>
  <si>
    <t>Overall results :</t>
  </si>
  <si>
    <t>Environment :</t>
  </si>
  <si>
    <t>Health :</t>
  </si>
  <si>
    <t>Animal Welfare :</t>
  </si>
  <si>
    <t xml:space="preserve">Impact assessment </t>
  </si>
  <si>
    <t xml:space="preserve">Impact monetization </t>
  </si>
  <si>
    <t>Impact category</t>
  </si>
  <si>
    <t>Reference unit</t>
  </si>
  <si>
    <t>Semi - Intensive - Uruguay</t>
  </si>
  <si>
    <t>Hidden costs</t>
  </si>
  <si>
    <t>kg PM2.5 eq</t>
  </si>
  <si>
    <t>[CHF/kg]</t>
  </si>
  <si>
    <t>kg 1,4-DCB</t>
  </si>
  <si>
    <t xml:space="preserve">Total </t>
  </si>
  <si>
    <t>LCA results :</t>
  </si>
  <si>
    <t>DataBase :</t>
  </si>
  <si>
    <t>Agribalyse (3.01)</t>
  </si>
  <si>
    <t>Impact method:</t>
  </si>
  <si>
    <t>ReCiPe 2016 Midpoint (H)</t>
  </si>
  <si>
    <t>Normalisation &amp; weighting set:</t>
  </si>
  <si>
    <t>World (2010) H</t>
  </si>
  <si>
    <t>Allocation method:</t>
  </si>
  <si>
    <t>process defaults</t>
  </si>
  <si>
    <t>Functional Unit :</t>
  </si>
  <si>
    <t>1 kg of bovine meat</t>
  </si>
  <si>
    <t>Input data</t>
  </si>
  <si>
    <t>Impact allocation</t>
  </si>
  <si>
    <t>Impact monetization</t>
  </si>
  <si>
    <t>(Appendix C.2)</t>
  </si>
  <si>
    <t>(Appendix C.5)</t>
  </si>
  <si>
    <t>Impact assessement input data</t>
  </si>
  <si>
    <t>Intermediary results for child labour impact assessment in Uruguay</t>
  </si>
  <si>
    <t xml:space="preserve">Impact </t>
  </si>
  <si>
    <t>Parameter</t>
  </si>
  <si>
    <t>Age group</t>
  </si>
  <si>
    <t>Value</t>
  </si>
  <si>
    <t>Agricultural FTE derivation :</t>
  </si>
  <si>
    <r>
      <rPr>
        <i/>
        <u/>
        <sz val="12"/>
        <color rgb="FF000000"/>
        <rFont val="Aptos Narrow"/>
      </rPr>
      <t>Table 6 (Appendix C.1) :</t>
    </r>
    <r>
      <rPr>
        <i/>
        <sz val="12"/>
        <color rgb="FF000000"/>
        <rFont val="Aptos Narrow"/>
      </rPr>
      <t xml:space="preserve"> Input data used for the assessment of child labour impacts in Uruguay.</t>
    </r>
  </si>
  <si>
    <t>Number of working children</t>
  </si>
  <si>
    <t>5–11</t>
  </si>
  <si>
    <t>indiv.</t>
  </si>
  <si>
    <t xml:space="preserve">(Appendix C.3) </t>
  </si>
  <si>
    <t>Wage gap with minimum wage</t>
  </si>
  <si>
    <t>Database / Source</t>
  </si>
  <si>
    <t>Indicator</t>
  </si>
  <si>
    <t>Sector</t>
  </si>
  <si>
    <t>12–14</t>
  </si>
  <si>
    <t xml:space="preserve">Table 8 (Appendix C.3) : Labour intensity in the agricultural sector in Switzerland and Uruguay. </t>
  </si>
  <si>
    <t>Number of working children aged a₁–a₂ years</t>
  </si>
  <si>
    <t>5–8</t>
  </si>
  <si>
    <t xml:space="preserve">ENSANNA  </t>
  </si>
  <si>
    <t>Child labour by age group</t>
  </si>
  <si>
    <t>National</t>
  </si>
  <si>
    <t>Number of children in hazardeous work</t>
  </si>
  <si>
    <t>Country</t>
  </si>
  <si>
    <t xml:space="preserve">FTE </t>
  </si>
  <si>
    <t xml:space="preserve">W_leave </t>
  </si>
  <si>
    <t>9–14</t>
  </si>
  <si>
    <t>[h/yr]</t>
  </si>
  <si>
    <t>[week/yr]</t>
  </si>
  <si>
    <t>Number of children aged a₁–a₂ years in hazardous work</t>
  </si>
  <si>
    <t>Children engaged in child labour, by category and age</t>
  </si>
  <si>
    <t>Switzerland</t>
  </si>
  <si>
    <t xml:space="preserve">Intermediary results for impact assessment </t>
  </si>
  <si>
    <t>Uruguay</t>
  </si>
  <si>
    <t xml:space="preserve">Value </t>
  </si>
  <si>
    <t>Annual hours worked in Agriculture</t>
  </si>
  <si>
    <t>h/year</t>
  </si>
  <si>
    <t>Workload estimation by production system</t>
  </si>
  <si>
    <t xml:space="preserve">(Appendix C.4) </t>
  </si>
  <si>
    <t>Proportion of employed children engaged in agriculture</t>
  </si>
  <si>
    <t>5–14</t>
  </si>
  <si>
    <t>%</t>
  </si>
  <si>
    <t xml:space="preserve">ILAB </t>
  </si>
  <si>
    <t xml:space="preserve">Prevalence and sectoral distribution of child labour </t>
  </si>
  <si>
    <t>Agricultural</t>
  </si>
  <si>
    <t>Table 10 (Appendix C.4) :  Workload per production system estimations (Ti)</t>
  </si>
  <si>
    <t>Total</t>
  </si>
  <si>
    <t>School attendance</t>
  </si>
  <si>
    <t>7–12</t>
  </si>
  <si>
    <t xml:space="preserve">CEPALSTAT </t>
  </si>
  <si>
    <t>School attendance, by age group, quintiles, and area (2024)</t>
  </si>
  <si>
    <t>Production system i</t>
  </si>
  <si>
    <t>[h / animal / yr]</t>
  </si>
  <si>
    <r>
      <rPr>
        <b/>
        <sz val="12"/>
        <color rgb="FF000000"/>
        <rFont val="Aptos Narrow"/>
      </rPr>
      <t xml:space="preserve">Tᵢ </t>
    </r>
    <r>
      <rPr>
        <i/>
        <sz val="12"/>
        <color rgb="FF000000"/>
        <rFont val="Aptos Narrow"/>
      </rPr>
      <t>[h/kg]</t>
    </r>
  </si>
  <si>
    <t>13–19</t>
  </si>
  <si>
    <t>Value for Switzerland</t>
  </si>
  <si>
    <t>Value for Uruguay</t>
  </si>
  <si>
    <t>Description</t>
  </si>
  <si>
    <t>Intensive</t>
  </si>
  <si>
    <t>Weekly hours worked by children</t>
  </si>
  <si>
    <t>7–14</t>
  </si>
  <si>
    <t>h/week</t>
  </si>
  <si>
    <t xml:space="preserve">Worl Bank (ILO, UNICEF) </t>
  </si>
  <si>
    <t>Average working hours of children, working only</t>
  </si>
  <si>
    <t>Wage gaps</t>
  </si>
  <si>
    <t xml:space="preserve">Difference between males and females monthly earnings in agriculture </t>
  </si>
  <si>
    <t>Semi-intensive</t>
  </si>
  <si>
    <t>Difference between the average monthly earnings of agricultural workers and the national statutory nominal gross monthly minimum wage, weighted by the proportion of female workers in the sector</t>
  </si>
  <si>
    <t>Extensive</t>
  </si>
  <si>
    <t xml:space="preserve">ENSANNA : Encuesta Nacional sobre las Actividades de Niñas, Niños y Adolescentes - 2024. Instituto Nacional de Estadística </t>
  </si>
  <si>
    <t>%*</t>
  </si>
  <si>
    <t xml:space="preserve">Proportion of agricultural work performed by children aged 5–14 engaged in hazardous work </t>
  </si>
  <si>
    <t>Semi-Intensive</t>
  </si>
  <si>
    <t>https://www.gub.uy/instituto-nacional-estadistica/comunicacion/publicaciones/encuesta-nacional-sobre-actividades-ninas-ninos-adolescentes-ensanna.</t>
  </si>
  <si>
    <t xml:space="preserve">Proportion of agricultural work performed by children aged 5–11 engaged in non-hazardous work </t>
  </si>
  <si>
    <t>ILAB : U.S. Department of Labor. Child Labor in Uruguay</t>
  </si>
  <si>
    <t xml:space="preserve">Proportion of agricultural work performed by children aged 12–14 engaged in non-hazardous work </t>
  </si>
  <si>
    <t>https://www.dol.gov/agencies/ilab/resources/reports/child-labor/uruguay</t>
  </si>
  <si>
    <t xml:space="preserve">Proportion of informal employment in the agricultural sector </t>
  </si>
  <si>
    <t>CEPALSTAT Economic Commission for Latin America and the Caribbean (ECLAC). CEPALSTAT Statistical Data Portal and Publications. 2026.</t>
  </si>
  <si>
    <t>Workers not on maternity leave</t>
  </si>
  <si>
    <t xml:space="preserve">Proportion of agricultural workers with denied paid maternity leave </t>
  </si>
  <si>
    <t>Allocation factors derivation</t>
  </si>
  <si>
    <t>https://statistics.cepal.org/portal/cepalstat/</t>
  </si>
  <si>
    <t>Denied maternity leaves</t>
  </si>
  <si>
    <t xml:space="preserve">Incomes not received due to the absence of maternity leave benefits in the agricultural sector </t>
  </si>
  <si>
    <t xml:space="preserve">(Appendix C.5) </t>
  </si>
  <si>
    <t>World Bank</t>
  </si>
  <si>
    <t>y⁻¹</t>
  </si>
  <si>
    <t xml:space="preserve">Annual number of non-fatal insured occupational incidents in the agricultural sector </t>
  </si>
  <si>
    <t>https://data.worldbank.org/indicator/SL.TLF.0714.WK.TM?most_recent_value_desc=false</t>
  </si>
  <si>
    <t xml:space="preserve">Annual number of non-fatal uninsured occupational incidents in the agricultural sector </t>
  </si>
  <si>
    <t xml:space="preserve">Annual number of fatal occupational incidents in the agricultural sector </t>
  </si>
  <si>
    <t>Month of work per kg of meat</t>
  </si>
  <si>
    <t>*annual percentages</t>
  </si>
  <si>
    <t>Workers rights  &amp; Child labour</t>
  </si>
  <si>
    <t>FTE / kg of meat</t>
  </si>
  <si>
    <r>
      <rPr>
        <i/>
        <u/>
        <sz val="12"/>
        <color rgb="FF000000"/>
        <rFont val="Aptos Narrow"/>
        <scheme val="minor"/>
      </rPr>
      <t>Table 7 (Appendix C.1) :</t>
    </r>
    <r>
      <rPr>
        <i/>
        <sz val="12"/>
        <color rgb="FF000000"/>
        <rFont val="Aptos Narrow"/>
        <scheme val="minor"/>
      </rPr>
      <t xml:space="preserve"> Input data used for the assessment of livelihood impacts related to wage gaps, workers rights and occupational safety.
</t>
    </r>
  </si>
  <si>
    <t>% of agricultural labour required to produce 1 kg of meat, weighted by production process duration</t>
  </si>
  <si>
    <t>Maternity leave duration</t>
  </si>
  <si>
    <t>weeks</t>
  </si>
  <si>
    <t xml:space="preserve">ILO maternity leave convention </t>
  </si>
  <si>
    <t>-</t>
  </si>
  <si>
    <t>Working life duration</t>
  </si>
  <si>
    <t>year</t>
  </si>
  <si>
    <t>Eurostat</t>
  </si>
  <si>
    <t xml:space="preserve">Duration of working life </t>
  </si>
  <si>
    <t>Law N°16.713, art. 18 ; Law Nº 17.823, art. 162</t>
  </si>
  <si>
    <t>Hourly earnings of women in agriculture</t>
  </si>
  <si>
    <t>$/h</t>
  </si>
  <si>
    <t>ILOSTAT</t>
  </si>
  <si>
    <t xml:space="preserve"> Average hourly earnings of employees </t>
  </si>
  <si>
    <t>Monthly earnings of women in agriculture</t>
  </si>
  <si>
    <t>$/month</t>
  </si>
  <si>
    <t xml:space="preserve"> Average monthly earnings of employees </t>
  </si>
  <si>
    <t>Monthly statutory nominal gross min. wage</t>
  </si>
  <si>
    <t xml:space="preserve"> Statutory nominal gross monthly minimum wage </t>
  </si>
  <si>
    <t>Monthly earnings of men in agriculture</t>
  </si>
  <si>
    <t>Fertility rate</t>
  </si>
  <si>
    <t>child/woman</t>
  </si>
  <si>
    <t xml:space="preserve">World Population Review </t>
  </si>
  <si>
    <t>Total Fertility Rate</t>
  </si>
  <si>
    <t>Weekly hours worked per person in agriculture</t>
  </si>
  <si>
    <t xml:space="preserve"> Mean weekly hours actually worked per employed person </t>
  </si>
  <si>
    <t>Weekly hours worked by women in agriculture</t>
  </si>
  <si>
    <t>Number of non fatal incidents in agriculture</t>
  </si>
  <si>
    <t>year⁻¹</t>
  </si>
  <si>
    <t xml:space="preserve">Case of non fatal occupational injury </t>
  </si>
  <si>
    <t>Number of fatal incidents</t>
  </si>
  <si>
    <t xml:space="preserve">Case of fatal occupational injury </t>
  </si>
  <si>
    <t>Number of agricultural workers</t>
  </si>
  <si>
    <t xml:space="preserve">Employment by sex and economic activity </t>
  </si>
  <si>
    <t>Number of women agricultural worker</t>
  </si>
  <si>
    <t>Number of person employed in the country</t>
  </si>
  <si>
    <t>Proportion of informal employment in agriculture</t>
  </si>
  <si>
    <t>Proportion of informal employment in total employment</t>
  </si>
  <si>
    <t>ILO Maternity leave convention</t>
  </si>
  <si>
    <t>https://normlex.ilo.org/dyn/nrmlx_en/f?p=NORMLEXPUB:12100:0::NO::P12100_ILO_CODE:C183</t>
  </si>
  <si>
    <t>https://ec.europa.eu/eurostat/databrowser/view/lfsi_dwl_a__custom_22774658/default/table</t>
  </si>
  <si>
    <t xml:space="preserve">Law N°16.713, art. 18 </t>
  </si>
  <si>
    <t>https://www.impo.com.uy/bases/leyes/16713-1995</t>
  </si>
  <si>
    <t xml:space="preserve"> Law Nº 17.823, art. 162</t>
  </si>
  <si>
    <t>https://www.gub.uy/ministerio-desarrollo-social/comunicacion/publicaciones/codigo-ninez-adolescencia-ley-17823</t>
  </si>
  <si>
    <t xml:space="preserve">ILOSTAT </t>
  </si>
  <si>
    <t>https://ilostat.ilo.org/data/?cat_mode=subject</t>
  </si>
  <si>
    <t>World Population Review</t>
  </si>
  <si>
    <t>https://worldpopulationreview.com/country-rankings/total-fertility-rate</t>
  </si>
  <si>
    <t>Allocation factors input data</t>
  </si>
  <si>
    <t>Appendix C.3) Swiss Agricultural FTE derivation :</t>
  </si>
  <si>
    <t xml:space="preserve">Table 9 (Appendix C.3) : Number of bovine in each Swiss canton </t>
  </si>
  <si>
    <t>Canton</t>
  </si>
  <si>
    <t>number bovine [head]</t>
  </si>
  <si>
    <t>Basel-Stadt</t>
  </si>
  <si>
    <t>Genève</t>
  </si>
  <si>
    <t>Liechtenstein</t>
  </si>
  <si>
    <t>Uri</t>
  </si>
  <si>
    <t>Ticino</t>
  </si>
  <si>
    <t>Glarus</t>
  </si>
  <si>
    <t>Nidwalden</t>
  </si>
  <si>
    <t>Appenzell Innerrhoden</t>
  </si>
  <si>
    <t>Schaffhausen</t>
  </si>
  <si>
    <t>Zug</t>
  </si>
  <si>
    <t>Obwalden</t>
  </si>
  <si>
    <t>Appenzell Ausserrhoden</t>
  </si>
  <si>
    <t>Basel-Landschaft</t>
  </si>
  <si>
    <t>Valais</t>
  </si>
  <si>
    <t>Solothurn</t>
  </si>
  <si>
    <t>Neuchâtel</t>
  </si>
  <si>
    <t>Schwyz</t>
  </si>
  <si>
    <t>Jura</t>
  </si>
  <si>
    <t>Graubünden</t>
  </si>
  <si>
    <t>Thurgau</t>
  </si>
  <si>
    <t>Aargau</t>
  </si>
  <si>
    <t>Zürich</t>
  </si>
  <si>
    <t>Vaud</t>
  </si>
  <si>
    <t>Fribourg</t>
  </si>
  <si>
    <t>St. Gallen</t>
  </si>
  <si>
    <t>Luzern</t>
  </si>
  <si>
    <t>Bern</t>
  </si>
  <si>
    <t xml:space="preserve">* Top 5 Swiss cantons with the highest number of bovines </t>
  </si>
  <si>
    <t>Source :</t>
  </si>
  <si>
    <t>Identitas AG, 2026. Platform animal statistics | animal statistics.</t>
  </si>
  <si>
    <t>Distribution by canton (2026)</t>
  </si>
  <si>
    <t>URL : https://tierstatistik.identitas.ch/fr/cattle-map-canton.html</t>
  </si>
  <si>
    <t>Table 9 (Appendix C.3) : Agricultural working conditions by canton</t>
  </si>
  <si>
    <t xml:space="preserve">Max Working hours </t>
  </si>
  <si>
    <t>Vacations</t>
  </si>
  <si>
    <t>FTE</t>
  </si>
  <si>
    <t xml:space="preserve"> [h/week]</t>
  </si>
  <si>
    <t xml:space="preserve"> [week/year]</t>
  </si>
  <si>
    <t xml:space="preserve"> [h/year]</t>
  </si>
  <si>
    <t>Standard Employment Contracts (Agriculture) :</t>
  </si>
  <si>
    <t>https://www.vd.ch/fileadmin/user_upload/organisation/dec/sde/fichiers_pdf/CT-agriculture.pdf</t>
  </si>
  <si>
    <t>https://www.fr.ch/document/70336</t>
  </si>
  <si>
    <t>https://srl.lu.ch/app/de/texts_of_law/854a</t>
  </si>
  <si>
    <t>St.Gallen</t>
  </si>
  <si>
    <t>https://www.gesetzessammlung.sg.ch/app/de/texts_of_law/513.2</t>
  </si>
  <si>
    <t>https://www.belex.sites.be.ch/app/fr/texts_of_law/222.153.21</t>
  </si>
  <si>
    <t xml:space="preserve">Uruguayan Agricultural sector </t>
  </si>
  <si>
    <t>Law No. 18,441</t>
  </si>
  <si>
    <t>Law No. 12,590</t>
  </si>
  <si>
    <t xml:space="preserve"> [days/year]</t>
  </si>
  <si>
    <t>Law No. 18,441 (24/12/2008)</t>
  </si>
  <si>
    <t>url: https://www.gub.uy/presidencia/institucional/normativa/ley-n-18441-fecha-24122008 ( 06/03/2026).</t>
  </si>
  <si>
    <t>Law No. 12,590 (23/12/1958)</t>
  </si>
  <si>
    <t>url : https://www.impo.com.uy/bases/leyes/12590-1958</t>
  </si>
  <si>
    <t>Appendix C.4) Workload estimation by production system</t>
  </si>
  <si>
    <t>Table 11 (Appendix C.4) : IDELE proxies for the estimation of production time Ti</t>
  </si>
  <si>
    <t xml:space="preserve"> for livelihood impact
allocation across production systems</t>
  </si>
  <si>
    <t>Production System</t>
  </si>
  <si>
    <t xml:space="preserve">Intensive - Switzerland </t>
  </si>
  <si>
    <t>Semi-intensive - Switzerland</t>
  </si>
  <si>
    <t xml:space="preserve">Proxy used </t>
  </si>
  <si>
    <t>"Système diversifié, engraisseur avec hors sol"</t>
  </si>
  <si>
    <t>"Système spécialisés bovins viande : Naisseur engraisseur de JB"</t>
  </si>
  <si>
    <r>
      <rPr>
        <b/>
        <sz val="12"/>
        <color rgb="FF000000"/>
        <rFont val="Aptos Narrow"/>
      </rPr>
      <t>TA</t>
    </r>
    <r>
      <rPr>
        <sz val="12"/>
        <color rgb="FF000000"/>
        <rFont val="Aptos Narrow"/>
      </rPr>
      <t xml:space="preserve"> </t>
    </r>
    <r>
      <rPr>
        <i/>
        <sz val="12"/>
        <color rgb="FF000000"/>
        <rFont val="Aptos Narrow"/>
      </rPr>
      <t>[h/year/LU]</t>
    </r>
  </si>
  <si>
    <t>Indoor cattle fattening (mean)</t>
  </si>
  <si>
    <t>Average of the base TA</t>
  </si>
  <si>
    <t>Fully open-air TA</t>
  </si>
  <si>
    <r>
      <rPr>
        <b/>
        <sz val="12"/>
        <color rgb="FF000000"/>
        <rFont val="Aptos Narrow"/>
      </rPr>
      <t xml:space="preserve">TS BV </t>
    </r>
    <r>
      <rPr>
        <i/>
        <sz val="12"/>
        <color rgb="FF000000"/>
        <rFont val="Aptos Narrow"/>
      </rPr>
      <t>[day/year/LU]</t>
    </r>
  </si>
  <si>
    <t>Intensive (&gt;2 LU/ha)</t>
  </si>
  <si>
    <t>Semi-intensive forage system</t>
  </si>
  <si>
    <t>Pasture-based forage system</t>
  </si>
  <si>
    <r>
      <rPr>
        <b/>
        <sz val="12"/>
        <color rgb="FF000000"/>
        <rFont val="Aptos Narrow"/>
        <scheme val="minor"/>
      </rPr>
      <t>TS SFP</t>
    </r>
    <r>
      <rPr>
        <sz val="12"/>
        <color rgb="FF000000"/>
        <rFont val="Aptos Narrow"/>
        <scheme val="minor"/>
      </rPr>
      <t xml:space="preserve"> </t>
    </r>
    <r>
      <rPr>
        <i/>
        <sz val="12"/>
        <color rgb="FF000000"/>
        <rFont val="Aptos Narrow"/>
        <scheme val="minor"/>
      </rPr>
      <t>[day/year/LU]</t>
    </r>
  </si>
  <si>
    <t>TA : Travail d’astreinte, i.e., routine work</t>
  </si>
  <si>
    <t xml:space="preserve">TS :  Travail saisonnier, i.e., seasonal work </t>
  </si>
  <si>
    <t>TS BV : seasonal labour in the cattle barn</t>
  </si>
  <si>
    <t>TS SFP : seasonal labour associated with the forage area (SFP)</t>
  </si>
  <si>
    <t>IDELE. Référentiel travail en élevages bovins viande. Tech. rep. Institut de l’élevage (IDELE), 2012.</t>
  </si>
  <si>
    <t>URL: https://idele.fr/detail-article/referentiel-travail-en-elevages-bovins-viande</t>
  </si>
  <si>
    <t>Cattle type</t>
  </si>
  <si>
    <t>LU Equivalent</t>
  </si>
  <si>
    <t>Young Bull (8-12 months)</t>
  </si>
  <si>
    <t>Institut de l'élevage (IDELE)</t>
  </si>
  <si>
    <t>Young Bull (12-24 months)</t>
  </si>
  <si>
    <t>https://www.isagri.fr/ressources/articles/ugb-unites</t>
  </si>
  <si>
    <t>French working day :</t>
  </si>
  <si>
    <t>[h/days]</t>
  </si>
  <si>
    <t>https://travail-emploi.gouv.fr/droit-du-travail/duree-et-temps-de-travail</t>
  </si>
  <si>
    <t>Semi-intensive - Uruguay</t>
  </si>
  <si>
    <t>Extensive  - Uruguay</t>
  </si>
  <si>
    <t>Pasture</t>
  </si>
  <si>
    <t>Feedlot</t>
  </si>
  <si>
    <r>
      <rPr>
        <sz val="12"/>
        <color rgb="FF000000"/>
        <rFont val="Aptos Narrow"/>
      </rPr>
      <t xml:space="preserve">Mean between </t>
    </r>
    <r>
      <rPr>
        <i/>
        <sz val="12"/>
        <color rgb="FF808080"/>
        <rFont val="Aptos Narrow"/>
      </rPr>
      <t>Cría mediano tecnificado</t>
    </r>
    <r>
      <rPr>
        <sz val="12"/>
        <color rgb="FF000000"/>
        <rFont val="Aptos Narrow"/>
      </rPr>
      <t xml:space="preserve"> and </t>
    </r>
    <r>
      <rPr>
        <i/>
        <sz val="12"/>
        <color rgb="FF808080"/>
        <rFont val="Aptos Narrow"/>
      </rPr>
      <t>Cria mediano tradicional</t>
    </r>
  </si>
  <si>
    <t>Cría chico tradicional</t>
  </si>
  <si>
    <r>
      <rPr>
        <b/>
        <sz val="12"/>
        <color rgb="FF000000"/>
        <rFont val="Aptos Narrow"/>
        <scheme val="minor"/>
      </rPr>
      <t>Herd</t>
    </r>
    <r>
      <rPr>
        <sz val="12"/>
        <color rgb="FF000000"/>
        <rFont val="Aptos Narrow"/>
        <scheme val="minor"/>
      </rPr>
      <t xml:space="preserve"> </t>
    </r>
    <r>
      <rPr>
        <i/>
        <sz val="12"/>
        <color rgb="FF000000"/>
        <rFont val="Aptos Narrow"/>
        <scheme val="minor"/>
      </rPr>
      <t>[head]</t>
    </r>
  </si>
  <si>
    <r>
      <rPr>
        <b/>
        <sz val="12"/>
        <color rgb="FF000000"/>
        <rFont val="Aptos Narrow"/>
        <scheme val="minor"/>
      </rPr>
      <t>Workload</t>
    </r>
    <r>
      <rPr>
        <i/>
        <sz val="12"/>
        <color rgb="FF000000"/>
        <rFont val="Aptos Narrow"/>
        <scheme val="minor"/>
      </rPr>
      <t xml:space="preserve"> [h/year]</t>
    </r>
  </si>
  <si>
    <t>Bruno Capdevielle. “El trabajo en la ganadería vacuna, provincia de Buenos Aires”. In: IMPACT.AR</t>
  </si>
  <si>
    <t xml:space="preserve">Desafío 58.1 (2023), pp. 1–29. </t>
  </si>
  <si>
    <t>url: https://www.ceil-conicet.gov.ar/2024/01/impact-ar-desafio-58-el-trabajo-en-la-ganaderia-vacuna-provincia-de-buenos-aires-bruno-capdevielle/</t>
  </si>
  <si>
    <t>method from Crosnier et al. (2025)</t>
  </si>
  <si>
    <t xml:space="preserve">Crosnier, A., Baudry, G., Jeangros, L., Meier, E.S., Cisco, G., Spring, L., Barjolle, D., 2025. </t>
  </si>
  <si>
    <t>True cost accounting for food application: Environmental, social and health impacts of bread.</t>
  </si>
  <si>
    <t>doi:10.1016/j.jclepro.2025.146224.</t>
  </si>
  <si>
    <t>Input Data :</t>
  </si>
  <si>
    <t>Impact assessment :</t>
  </si>
  <si>
    <t>Impact monetization :</t>
  </si>
  <si>
    <t>Table 14 Appendix (D.1) : input data used for the assessment of health impacts</t>
  </si>
  <si>
    <t>Sex</t>
  </si>
  <si>
    <t xml:space="preserve">Year </t>
  </si>
  <si>
    <t xml:space="preserve">DALYs attributable to individual red meat consumption at level 𝑥 </t>
  </si>
  <si>
    <t>Dietary impact of meat consumption :</t>
  </si>
  <si>
    <t>Swiss population</t>
  </si>
  <si>
    <t>female</t>
  </si>
  <si>
    <t>cap.</t>
  </si>
  <si>
    <t>GBD</t>
  </si>
  <si>
    <t>Population, all ages</t>
  </si>
  <si>
    <t>DALYs_{red meat} (x)</t>
  </si>
  <si>
    <t>male</t>
  </si>
  <si>
    <t>intake x</t>
  </si>
  <si>
    <t>Male</t>
  </si>
  <si>
    <t>Female</t>
  </si>
  <si>
    <t>DALYs Colon and rectum cancer</t>
  </si>
  <si>
    <t>DALYs·yr^-1</t>
  </si>
  <si>
    <t>Cause of death or injury, all ages</t>
  </si>
  <si>
    <t>DALYs Diabetes mellitus type 2</t>
  </si>
  <si>
    <t>DALYs Ischemic heart disease</t>
  </si>
  <si>
    <t>DALYs Ischemic stroke</t>
  </si>
  <si>
    <t>Daily red meat intake</t>
  </si>
  <si>
    <t>g·day^-1</t>
  </si>
  <si>
    <t>GDD</t>
  </si>
  <si>
    <t>All ages</t>
  </si>
  <si>
    <t>GDB : Collaborative Network. Global Burden of Disease (GDB) Results. Ed. by Global Burden of Disease
Collaborative Network. 2023.</t>
  </si>
  <si>
    <t>https://vizhub.healthdata.org/gbd-results/</t>
  </si>
  <si>
    <t xml:space="preserve">GDD : The Global Nutrition and Policy Consortium. Global Dietary Database. </t>
  </si>
  <si>
    <t>https://globaldietarydatabase.org/complete-survey-metadata</t>
  </si>
  <si>
    <t xml:space="preserve">Table 15 (Appendix D.1)  : Average Daily Consumption of Red Meat and Related Meat Types </t>
  </si>
  <si>
    <t>Food and Food Groups</t>
  </si>
  <si>
    <t>Intake [g/day]</t>
  </si>
  <si>
    <t>Red meat, unprocessed</t>
  </si>
  <si>
    <t>Veal</t>
  </si>
  <si>
    <t>Rabbit</t>
  </si>
  <si>
    <t>Lamb</t>
  </si>
  <si>
    <t>Horse meat</t>
  </si>
  <si>
    <t>Beef</t>
  </si>
  <si>
    <t>Pork</t>
  </si>
  <si>
    <t>FSVO. Food consumption data from the First Swiss National Nutrition Survey menuCH 2014-15,</t>
  </si>
  <si>
    <t xml:space="preserve"> Version 3.0. Ed. by Federal Food Safety and Veterinary Office. </t>
  </si>
  <si>
    <t>https://opendata.swiss/fr/dataset/menuch- portionsgrossen/resource/34a6986a- e880- 428d- beaa- e96db77001f4</t>
  </si>
  <si>
    <t xml:space="preserve">Table 16 (Appendix D.2): Derived Population Attributable Fractions (PAFs) for diseases associated </t>
  </si>
  <si>
    <t>with suboptimal red meat consumption, by red meat intake levels.</t>
  </si>
  <si>
    <t xml:space="preserve">Intake </t>
  </si>
  <si>
    <t xml:space="preserve">PAF </t>
  </si>
  <si>
    <t>[g/day]</t>
  </si>
  <si>
    <t>Colon and Rectum Cancer</t>
  </si>
  <si>
    <t>Type 2 Diabetes</t>
  </si>
  <si>
    <t>Ischemic Heart Disease</t>
  </si>
  <si>
    <t>Ischemic Stroke</t>
  </si>
  <si>
    <t>Curve fitting :</t>
  </si>
  <si>
    <t>DALYs_{red meat}' (x)</t>
  </si>
  <si>
    <t>x^4    +</t>
  </si>
  <si>
    <t>x^3    +</t>
  </si>
  <si>
    <t>x^2    +</t>
  </si>
  <si>
    <t>x    +</t>
  </si>
  <si>
    <t>Estimation of the daily bovine meat Swiss consumption :</t>
  </si>
  <si>
    <t>Daily bovine meat intake</t>
  </si>
  <si>
    <t>[DALYs∕cap∕kg bovine meat]</t>
  </si>
  <si>
    <t>aggregate</t>
  </si>
  <si>
    <t>Computation performed by  :</t>
  </si>
  <si>
    <t xml:space="preserve">Idriss Komi, Center for Primary Care and Public Health (Unisanté), University of Lausanne, Lausanne, Switzerland, </t>
  </si>
  <si>
    <t>idriss.komi@unisanté.ch, ORCID: 0009-0008-1662-8368</t>
  </si>
  <si>
    <t>Animal Quality Adjust Life Years (AQALY)</t>
  </si>
  <si>
    <t>method from Espinosa et al. (2025)</t>
  </si>
  <si>
    <t xml:space="preserve">Espinosa, R., Browning, H., Treich, N., 2025. Animal quality-adjusted life year (AQALY). </t>
  </si>
  <si>
    <t>doi:10.2139/ssrn.5255360, URL: https://ssrn.com/abstract=5255360,</t>
  </si>
  <si>
    <t>Impact Assessment :</t>
  </si>
  <si>
    <t>Impact Allocation :</t>
  </si>
  <si>
    <t>Impact Monetization :</t>
  </si>
  <si>
    <t>Animal Welfare Hidden Costs in animal DALYs</t>
  </si>
  <si>
    <t>See Appendix E.6</t>
  </si>
  <si>
    <t>Table 18 (Appendix E.2): Estimated impact of welfare impairments on AQALY score. Mixed logit estimates, merged sample</t>
  </si>
  <si>
    <t>Impacts in absolute temrs</t>
  </si>
  <si>
    <t>Method by Scherer et al. (2018)</t>
  </si>
  <si>
    <t xml:space="preserve">(Experts + UK Representative) with equal weights. </t>
  </si>
  <si>
    <t xml:space="preserve">Laura Scherer et al. “Framework for integrating animal welfare into life cycle sustainability assessment”. In: The International Journal of Life Cycle Assessment 23 (2018), pp. 1476–1490. </t>
  </si>
  <si>
    <t>Domain</t>
  </si>
  <si>
    <t>Grade</t>
  </si>
  <si>
    <t>Estimated Impact (QALY/nB)</t>
  </si>
  <si>
    <t>Std. Error</t>
  </si>
  <si>
    <t>Nutrition</t>
  </si>
  <si>
    <t>[AQALY/animal]</t>
  </si>
  <si>
    <t>[AQALY/kg meat]</t>
  </si>
  <si>
    <t>doi: 10.1007/s11367-017-1420-x.</t>
  </si>
  <si>
    <t>Mild positive</t>
  </si>
  <si>
    <t>Neutral</t>
  </si>
  <si>
    <t>Input Data:</t>
  </si>
  <si>
    <t>Mild Negative</t>
  </si>
  <si>
    <t>Behavior</t>
  </si>
  <si>
    <t>Very Severe Negative</t>
  </si>
  <si>
    <t xml:space="preserve">Premature mortality </t>
  </si>
  <si>
    <t>Life span( years)</t>
  </si>
  <si>
    <t>yr</t>
  </si>
  <si>
    <t>MODIFMISENEGPAG</t>
  </si>
  <si>
    <t>Overall welfare score</t>
  </si>
  <si>
    <t>Life expectancy (years)</t>
  </si>
  <si>
    <t>Max ideal welfare score</t>
  </si>
  <si>
    <t>Slaughter duration</t>
  </si>
  <si>
    <t>day</t>
  </si>
  <si>
    <t>Impact as a difference with the reference welfare state :</t>
  </si>
  <si>
    <t>Impact assessment, allocation and monetization :</t>
  </si>
  <si>
    <t>Semi-Intensive  - Uruguay</t>
  </si>
  <si>
    <r>
      <rPr>
        <b/>
        <sz val="12"/>
        <color rgb="FF000000"/>
        <rFont val="Times New Roman"/>
      </rPr>
      <t xml:space="preserve">I </t>
    </r>
    <r>
      <rPr>
        <sz val="12"/>
        <color rgb="FF000000"/>
        <rFont val="Times New Roman"/>
      </rPr>
      <t>[%]</t>
    </r>
  </si>
  <si>
    <t>Access to pasture prior to fattening ?</t>
  </si>
  <si>
    <t>no</t>
  </si>
  <si>
    <t>yes</t>
  </si>
  <si>
    <t>Life Quality</t>
  </si>
  <si>
    <r>
      <rPr>
        <b/>
        <sz val="12"/>
        <color rgb="FF000000"/>
        <rFont val="Aptos Narrow"/>
        <scheme val="minor"/>
      </rPr>
      <t>Slaughter age</t>
    </r>
    <r>
      <rPr>
        <sz val="12"/>
        <color rgb="FF000000"/>
        <rFont val="Aptos Narrow"/>
        <scheme val="minor"/>
      </rPr>
      <t xml:space="preserve"> [yr]</t>
    </r>
  </si>
  <si>
    <t>Life fraction</t>
  </si>
  <si>
    <r>
      <rPr>
        <b/>
        <sz val="12"/>
        <color rgb="FF000000"/>
        <rFont val="Aptos Narrow"/>
        <scheme val="minor"/>
      </rPr>
      <t xml:space="preserve">Number affected </t>
    </r>
    <r>
      <rPr>
        <sz val="12"/>
        <color rgb="FF000000"/>
        <rFont val="Aptos Narrow"/>
        <scheme val="minor"/>
      </rPr>
      <t>[animal/kg meat]</t>
    </r>
  </si>
  <si>
    <t xml:space="preserve">Slaughter fraction </t>
  </si>
  <si>
    <t>LL</t>
  </si>
  <si>
    <t>LD</t>
  </si>
  <si>
    <t xml:space="preserve">Animal welfare score per animal by indicator normalized over one year. </t>
  </si>
  <si>
    <t>Animal welfare loss</t>
  </si>
  <si>
    <t>Welfare impairments in Nutrition</t>
  </si>
  <si>
    <t>Monetized AL</t>
  </si>
  <si>
    <t>Welfare impairments in Environment</t>
  </si>
  <si>
    <t>Lives lost</t>
  </si>
  <si>
    <t xml:space="preserve">Table 17  (Appendix E.2) : Animal welfare assessment of French feedlot and pasture beef </t>
  </si>
  <si>
    <t>Welfare impairments in Health</t>
  </si>
  <si>
    <t>Lives with disability</t>
  </si>
  <si>
    <t xml:space="preserve">and estimated impact on animal welfare score  in each welfare domain  </t>
  </si>
  <si>
    <t>Welfare impairments in Behavior</t>
  </si>
  <si>
    <t>Welfare level related to...</t>
  </si>
  <si>
    <t>Feedlot beef</t>
  </si>
  <si>
    <t>Pasture beef</t>
  </si>
  <si>
    <t>Actual welfare score</t>
  </si>
  <si>
    <t>Perfect Welfare State</t>
  </si>
  <si>
    <t xml:space="preserve"> Severe Negative</t>
  </si>
  <si>
    <t xml:space="preserve"> Perfect welfare state represent the annual welfare score the animal would have under perfect welfare state, which is by definition set to 1. </t>
  </si>
  <si>
    <t>Actual welfare state correspond to the annual welfare score the animal actualy exhibit in each production system</t>
  </si>
  <si>
    <t xml:space="preserve">Figure 3 : Animal welfare score per animal by indicator normalized over one year. </t>
  </si>
  <si>
    <t>Table 20 (Appendix E.4) : Parameters used for the estimation of utility potential.</t>
  </si>
  <si>
    <t>n_bovines</t>
  </si>
  <si>
    <t>number of cortical neurons</t>
  </si>
  <si>
    <t>Espinosa (2024)</t>
  </si>
  <si>
    <t>n_humans</t>
  </si>
  <si>
    <t>ψ</t>
  </si>
  <si>
    <t>Romain Espinosa. “Animals and social welfare”. In: Social Choice and Welfare 62.3 (2024), pp. 465–504. (Supplementary materials)</t>
  </si>
  <si>
    <t>doi: 10.1007/s00355-023-01495-x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</si>
</sst>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3" tint="9.9978637043366805E-2"/>
      <name val="Aptos Narrow"/>
      <scheme val="minor"/>
    </font>
    <font>
      <sz val="12"/>
      <color theme="3" tint="9.9978637043366805E-2"/>
      <name val="Aptos Narrow"/>
      <family val="2"/>
      <scheme val="minor"/>
    </font>
    <font>
      <i/>
      <u/>
      <sz val="12"/>
      <color theme="1"/>
      <name val="Aptos Narrow (Corps)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1"/>
      <name val="Calibri"/>
      <family val="2"/>
    </font>
    <font>
      <b/>
      <i/>
      <sz val="12"/>
      <color theme="1"/>
      <name val="Aptos Narrow"/>
      <scheme val="minor"/>
    </font>
    <font>
      <sz val="12"/>
      <color rgb="FF153D64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rgb="FF000000"/>
      <name val="Aptos Narrow"/>
    </font>
    <font>
      <sz val="12"/>
      <color rgb="FF000000"/>
      <name val="Aptos Narrow"/>
      <family val="2"/>
    </font>
    <font>
      <b/>
      <i/>
      <sz val="14"/>
      <color rgb="FF000000"/>
      <name val="Aptos Narrow"/>
    </font>
    <font>
      <i/>
      <sz val="12"/>
      <color rgb="FF000000"/>
      <name val="Aptos Narrow"/>
    </font>
    <font>
      <b/>
      <i/>
      <sz val="12"/>
      <color rgb="FF000000"/>
      <name val="Aptos Narrow"/>
    </font>
    <font>
      <b/>
      <sz val="12"/>
      <color rgb="FFC00000"/>
      <name val="Aptos Narrow"/>
    </font>
    <font>
      <i/>
      <u/>
      <sz val="12"/>
      <color rgb="FF000000"/>
      <name val="Aptos Narrow"/>
    </font>
    <font>
      <sz val="12"/>
      <color rgb="FF153D64"/>
      <name val="Aptos Narrow"/>
    </font>
    <font>
      <sz val="12"/>
      <color rgb="FF000000"/>
      <name val="Aptos Narrow"/>
    </font>
    <font>
      <b/>
      <sz val="12"/>
      <color rgb="FF000000"/>
      <name val="Aptos Narrow"/>
    </font>
    <font>
      <u/>
      <sz val="12"/>
      <color theme="10"/>
      <name val="Aptos Narrow"/>
      <family val="2"/>
      <scheme val="minor"/>
    </font>
    <font>
      <sz val="12"/>
      <color theme="4"/>
      <name val="Aptos Narrow"/>
      <family val="2"/>
    </font>
    <font>
      <i/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12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u/>
      <sz val="12"/>
      <color rgb="FF000000"/>
      <name val="Aptos Narrow"/>
      <scheme val="minor"/>
    </font>
    <font>
      <i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i/>
      <sz val="12"/>
      <color theme="1" tint="0.499984740745262"/>
      <name val="Aptos Narrow"/>
      <family val="2"/>
    </font>
    <font>
      <i/>
      <sz val="12"/>
      <color theme="1" tint="0.499984740745262"/>
      <name val="Aptos Narrow"/>
      <family val="2"/>
      <scheme val="minor"/>
    </font>
    <font>
      <b/>
      <sz val="12"/>
      <color rgb="FFC00000"/>
      <name val="Aptos Narrow"/>
      <family val="2"/>
    </font>
    <font>
      <i/>
      <sz val="12"/>
      <color rgb="FF808080"/>
      <name val="Aptos Narrow"/>
    </font>
    <font>
      <sz val="12"/>
      <color theme="1"/>
      <name val="Aptos Narrow"/>
    </font>
    <font>
      <sz val="12"/>
      <color theme="3" tint="0.249977111117893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u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 val="double"/>
      <sz val="12"/>
      <color theme="1"/>
      <name val="Aptos Narrow"/>
      <family val="2"/>
      <scheme val="minor"/>
    </font>
    <font>
      <u/>
      <sz val="12"/>
      <color rgb="FF000000"/>
      <name val="Aptos Narrow"/>
      <family val="2"/>
      <scheme val="minor"/>
    </font>
    <font>
      <b/>
      <sz val="20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20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Calibri"/>
      <family val="2"/>
      <scheme val="minor"/>
    </font>
    <font>
      <sz val="12"/>
      <color rgb="FFC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686"/>
        <bgColor indexed="64"/>
      </patternFill>
    </fill>
    <fill>
      <patternFill patternType="solid">
        <fgColor rgb="FFFFB8A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DF4FA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C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8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0" fillId="0" borderId="5" xfId="0" applyBorder="1"/>
    <xf numFmtId="0" fontId="0" fillId="0" borderId="4" xfId="0" applyBorder="1"/>
    <xf numFmtId="0" fontId="0" fillId="0" borderId="1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2" borderId="11" xfId="0" applyFill="1" applyBorder="1"/>
    <xf numFmtId="0" fontId="0" fillId="0" borderId="12" xfId="0" applyBorder="1"/>
    <xf numFmtId="0" fontId="0" fillId="3" borderId="12" xfId="0" applyFill="1" applyBorder="1"/>
    <xf numFmtId="0" fontId="0" fillId="6" borderId="12" xfId="0" applyFill="1" applyBorder="1"/>
    <xf numFmtId="0" fontId="0" fillId="2" borderId="12" xfId="0" applyFill="1" applyBorder="1"/>
    <xf numFmtId="0" fontId="0" fillId="6" borderId="7" xfId="0" applyFill="1" applyBorder="1"/>
    <xf numFmtId="0" fontId="0" fillId="2" borderId="5" xfId="0" applyFill="1" applyBorder="1"/>
    <xf numFmtId="0" fontId="0" fillId="0" borderId="6" xfId="0" applyBorder="1"/>
    <xf numFmtId="0" fontId="0" fillId="3" borderId="5" xfId="0" applyFill="1" applyBorder="1"/>
    <xf numFmtId="0" fontId="0" fillId="7" borderId="5" xfId="0" applyFill="1" applyBorder="1"/>
    <xf numFmtId="0" fontId="0" fillId="6" borderId="5" xfId="0" applyFill="1" applyBorder="1"/>
    <xf numFmtId="0" fontId="1" fillId="0" borderId="2" xfId="0" applyFont="1" applyBorder="1"/>
    <xf numFmtId="0" fontId="1" fillId="0" borderId="12" xfId="0" applyFont="1" applyBorder="1"/>
    <xf numFmtId="0" fontId="0" fillId="0" borderId="13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0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vertical="center"/>
    </xf>
    <xf numFmtId="0" fontId="0" fillId="0" borderId="2" xfId="0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2" xfId="0" applyFont="1" applyBorder="1"/>
    <xf numFmtId="0" fontId="16" fillId="0" borderId="10" xfId="0" applyFont="1" applyBorder="1"/>
    <xf numFmtId="0" fontId="13" fillId="0" borderId="12" xfId="0" applyFont="1" applyBorder="1"/>
    <xf numFmtId="0" fontId="13" fillId="0" borderId="5" xfId="0" applyFont="1" applyBorder="1"/>
    <xf numFmtId="0" fontId="16" fillId="0" borderId="0" xfId="0" applyFont="1"/>
    <xf numFmtId="0" fontId="17" fillId="0" borderId="12" xfId="0" applyFont="1" applyBorder="1"/>
    <xf numFmtId="0" fontId="17" fillId="0" borderId="13" xfId="0" applyFont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14" xfId="0" applyFont="1" applyBorder="1"/>
    <xf numFmtId="0" fontId="21" fillId="0" borderId="16" xfId="0" applyFont="1" applyBorder="1"/>
    <xf numFmtId="0" fontId="13" fillId="0" borderId="17" xfId="0" applyFont="1" applyBorder="1"/>
    <xf numFmtId="0" fontId="15" fillId="0" borderId="18" xfId="0" applyFont="1" applyBorder="1"/>
    <xf numFmtId="0" fontId="21" fillId="0" borderId="17" xfId="0" applyFont="1" applyBorder="1"/>
    <xf numFmtId="0" fontId="13" fillId="0" borderId="18" xfId="0" applyFont="1" applyBorder="1"/>
    <xf numFmtId="0" fontId="21" fillId="0" borderId="19" xfId="0" applyFont="1" applyBorder="1"/>
    <xf numFmtId="0" fontId="13" fillId="0" borderId="21" xfId="0" applyFont="1" applyBorder="1"/>
    <xf numFmtId="0" fontId="13" fillId="0" borderId="19" xfId="0" applyFont="1" applyBorder="1"/>
    <xf numFmtId="0" fontId="13" fillId="0" borderId="15" xfId="0" applyFont="1" applyBorder="1"/>
    <xf numFmtId="0" fontId="13" fillId="0" borderId="16" xfId="0" applyFont="1" applyBorder="1"/>
    <xf numFmtId="0" fontId="13" fillId="0" borderId="22" xfId="0" applyFont="1" applyBorder="1"/>
    <xf numFmtId="0" fontId="13" fillId="0" borderId="23" xfId="0" applyFont="1" applyBorder="1"/>
    <xf numFmtId="0" fontId="21" fillId="0" borderId="24" xfId="0" applyFont="1" applyBorder="1"/>
    <xf numFmtId="0" fontId="21" fillId="0" borderId="26" xfId="0" applyFont="1" applyBorder="1"/>
    <xf numFmtId="0" fontId="15" fillId="0" borderId="27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5" fillId="0" borderId="17" xfId="0" applyFont="1" applyBorder="1"/>
    <xf numFmtId="0" fontId="13" fillId="0" borderId="14" xfId="0" applyFont="1" applyBorder="1"/>
    <xf numFmtId="0" fontId="13" fillId="0" borderId="24" xfId="0" applyFont="1" applyBorder="1"/>
    <xf numFmtId="0" fontId="22" fillId="0" borderId="0" xfId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5" fillId="0" borderId="14" xfId="0" applyFont="1" applyBorder="1"/>
    <xf numFmtId="0" fontId="25" fillId="0" borderId="15" xfId="0" applyFont="1" applyBorder="1"/>
    <xf numFmtId="0" fontId="25" fillId="0" borderId="16" xfId="0" applyFont="1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24" fillId="0" borderId="25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5" fillId="0" borderId="26" xfId="0" applyFont="1" applyBorder="1"/>
    <xf numFmtId="0" fontId="0" fillId="0" borderId="27" xfId="0" applyBorder="1"/>
    <xf numFmtId="0" fontId="0" fillId="0" borderId="28" xfId="0" applyBorder="1"/>
    <xf numFmtId="0" fontId="24" fillId="0" borderId="22" xfId="0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20" fillId="0" borderId="27" xfId="0" applyFont="1" applyBorder="1"/>
    <xf numFmtId="0" fontId="25" fillId="0" borderId="22" xfId="0" applyFont="1" applyBorder="1" applyAlignment="1">
      <alignment horizontal="center" vertical="center"/>
    </xf>
    <xf numFmtId="0" fontId="27" fillId="0" borderId="22" xfId="0" applyFont="1" applyBorder="1"/>
    <xf numFmtId="0" fontId="20" fillId="0" borderId="26" xfId="0" applyFont="1" applyBorder="1"/>
    <xf numFmtId="0" fontId="0" fillId="0" borderId="25" xfId="0" applyBorder="1"/>
    <xf numFmtId="0" fontId="0" fillId="0" borderId="22" xfId="0" applyBorder="1"/>
    <xf numFmtId="0" fontId="0" fillId="0" borderId="23" xfId="0" applyBorder="1"/>
    <xf numFmtId="0" fontId="33" fillId="0" borderId="0" xfId="0" applyFont="1"/>
    <xf numFmtId="0" fontId="33" fillId="0" borderId="27" xfId="0" applyFont="1" applyBorder="1"/>
    <xf numFmtId="0" fontId="33" fillId="0" borderId="18" xfId="0" applyFont="1" applyBorder="1"/>
    <xf numFmtId="0" fontId="1" fillId="0" borderId="15" xfId="0" applyFont="1" applyBorder="1"/>
    <xf numFmtId="0" fontId="0" fillId="2" borderId="17" xfId="0" applyFill="1" applyBorder="1"/>
    <xf numFmtId="0" fontId="0" fillId="0" borderId="0" xfId="0" applyAlignment="1">
      <alignment horizontal="center"/>
    </xf>
    <xf numFmtId="0" fontId="3" fillId="0" borderId="18" xfId="0" applyFont="1" applyBorder="1"/>
    <xf numFmtId="0" fontId="0" fillId="5" borderId="17" xfId="0" applyFill="1" applyBorder="1"/>
    <xf numFmtId="0" fontId="0" fillId="4" borderId="17" xfId="0" applyFill="1" applyBorder="1"/>
    <xf numFmtId="0" fontId="0" fillId="3" borderId="19" xfId="0" applyFill="1" applyBorder="1"/>
    <xf numFmtId="0" fontId="0" fillId="0" borderId="20" xfId="0" applyBorder="1" applyAlignment="1">
      <alignment horizontal="center"/>
    </xf>
    <xf numFmtId="0" fontId="3" fillId="0" borderId="21" xfId="0" applyFont="1" applyBorder="1"/>
    <xf numFmtId="0" fontId="0" fillId="0" borderId="16" xfId="0" applyBorder="1"/>
    <xf numFmtId="0" fontId="20" fillId="0" borderId="16" xfId="0" applyFont="1" applyBorder="1"/>
    <xf numFmtId="0" fontId="25" fillId="0" borderId="17" xfId="0" applyFont="1" applyBorder="1" applyAlignment="1">
      <alignment horizontal="center" vertical="center"/>
    </xf>
    <xf numFmtId="0" fontId="27" fillId="0" borderId="26" xfId="0" applyFont="1" applyBorder="1"/>
    <xf numFmtId="0" fontId="27" fillId="0" borderId="14" xfId="0" applyFont="1" applyBorder="1"/>
    <xf numFmtId="0" fontId="0" fillId="0" borderId="19" xfId="0" applyBorder="1"/>
    <xf numFmtId="0" fontId="0" fillId="0" borderId="24" xfId="0" applyBorder="1"/>
    <xf numFmtId="0" fontId="27" fillId="0" borderId="24" xfId="0" applyFont="1" applyBorder="1"/>
    <xf numFmtId="0" fontId="29" fillId="0" borderId="23" xfId="0" applyFont="1" applyBorder="1"/>
    <xf numFmtId="0" fontId="0" fillId="0" borderId="26" xfId="0" applyBorder="1"/>
    <xf numFmtId="0" fontId="0" fillId="0" borderId="17" xfId="0" applyBorder="1"/>
    <xf numFmtId="0" fontId="31" fillId="0" borderId="14" xfId="0" applyFont="1" applyBorder="1"/>
    <xf numFmtId="0" fontId="34" fillId="0" borderId="20" xfId="0" applyFont="1" applyBorder="1"/>
    <xf numFmtId="0" fontId="34" fillId="0" borderId="28" xfId="0" applyFont="1" applyBorder="1"/>
    <xf numFmtId="0" fontId="25" fillId="0" borderId="27" xfId="0" applyFont="1" applyBorder="1"/>
    <xf numFmtId="0" fontId="27" fillId="0" borderId="23" xfId="0" applyFont="1" applyBorder="1"/>
    <xf numFmtId="0" fontId="0" fillId="0" borderId="0" xfId="0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0" fillId="0" borderId="15" xfId="0" applyBorder="1"/>
    <xf numFmtId="0" fontId="34" fillId="0" borderId="18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32" fillId="0" borderId="24" xfId="0" applyFont="1" applyBorder="1"/>
    <xf numFmtId="2" fontId="35" fillId="0" borderId="5" xfId="0" applyNumberFormat="1" applyFont="1" applyBorder="1"/>
    <xf numFmtId="2" fontId="35" fillId="0" borderId="7" xfId="0" applyNumberFormat="1" applyFont="1" applyBorder="1"/>
    <xf numFmtId="0" fontId="15" fillId="0" borderId="19" xfId="0" applyFont="1" applyBorder="1"/>
    <xf numFmtId="0" fontId="25" fillId="0" borderId="22" xfId="0" applyFont="1" applyBorder="1"/>
    <xf numFmtId="0" fontId="27" fillId="0" borderId="15" xfId="0" applyFont="1" applyBorder="1" applyAlignment="1">
      <alignment horizontal="center"/>
    </xf>
    <xf numFmtId="0" fontId="26" fillId="0" borderId="27" xfId="0" applyFont="1" applyBorder="1"/>
    <xf numFmtId="0" fontId="23" fillId="0" borderId="27" xfId="0" applyFont="1" applyBorder="1"/>
    <xf numFmtId="0" fontId="27" fillId="0" borderId="16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5" fillId="0" borderId="19" xfId="0" applyFont="1" applyBorder="1"/>
    <xf numFmtId="0" fontId="29" fillId="0" borderId="27" xfId="0" applyFont="1" applyBorder="1" applyAlignment="1">
      <alignment horizontal="center" vertical="center"/>
    </xf>
    <xf numFmtId="0" fontId="12" fillId="0" borderId="0" xfId="0" applyFont="1"/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7" fillId="0" borderId="25" xfId="0" applyFont="1" applyBorder="1"/>
    <xf numFmtId="0" fontId="11" fillId="0" borderId="20" xfId="0" applyFont="1" applyBorder="1"/>
    <xf numFmtId="0" fontId="0" fillId="0" borderId="15" xfId="0" applyBorder="1" applyAlignment="1">
      <alignment horizontal="center"/>
    </xf>
    <xf numFmtId="0" fontId="11" fillId="0" borderId="15" xfId="0" applyFont="1" applyBorder="1"/>
    <xf numFmtId="0" fontId="38" fillId="0" borderId="0" xfId="0" applyFont="1"/>
    <xf numFmtId="0" fontId="40" fillId="0" borderId="0" xfId="0" applyFont="1"/>
    <xf numFmtId="0" fontId="32" fillId="0" borderId="0" xfId="0" applyFont="1"/>
    <xf numFmtId="0" fontId="27" fillId="0" borderId="15" xfId="0" applyFont="1" applyBorder="1"/>
    <xf numFmtId="0" fontId="27" fillId="0" borderId="16" xfId="0" applyFont="1" applyBorder="1"/>
    <xf numFmtId="0" fontId="0" fillId="0" borderId="20" xfId="0" quotePrefix="1" applyBorder="1" applyAlignment="1">
      <alignment horizontal="center" vertical="center"/>
    </xf>
    <xf numFmtId="0" fontId="41" fillId="0" borderId="16" xfId="0" applyFont="1" applyBorder="1"/>
    <xf numFmtId="0" fontId="26" fillId="0" borderId="20" xfId="0" applyFont="1" applyBorder="1"/>
    <xf numFmtId="0" fontId="42" fillId="0" borderId="0" xfId="0" applyFont="1"/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3" fillId="0" borderId="0" xfId="1" applyFont="1"/>
    <xf numFmtId="0" fontId="39" fillId="0" borderId="0" xfId="1" applyFont="1"/>
    <xf numFmtId="0" fontId="12" fillId="0" borderId="0" xfId="0" applyFont="1" applyAlignment="1">
      <alignment horizontal="left"/>
    </xf>
    <xf numFmtId="0" fontId="21" fillId="0" borderId="14" xfId="0" applyFont="1" applyBorder="1" applyAlignment="1">
      <alignment wrapText="1"/>
    </xf>
    <xf numFmtId="0" fontId="27" fillId="0" borderId="19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38" fillId="0" borderId="15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27" fillId="0" borderId="20" xfId="0" applyFont="1" applyBorder="1"/>
    <xf numFmtId="0" fontId="41" fillId="0" borderId="19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41" fillId="0" borderId="17" xfId="0" applyFont="1" applyBorder="1" applyAlignment="1">
      <alignment horizontal="left" vertical="center"/>
    </xf>
    <xf numFmtId="0" fontId="25" fillId="0" borderId="14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27" fillId="0" borderId="32" xfId="0" applyFont="1" applyBorder="1"/>
    <xf numFmtId="0" fontId="27" fillId="0" borderId="33" xfId="0" applyFont="1" applyBorder="1"/>
    <xf numFmtId="0" fontId="27" fillId="0" borderId="34" xfId="0" applyFont="1" applyBorder="1"/>
    <xf numFmtId="0" fontId="27" fillId="0" borderId="35" xfId="0" applyFont="1" applyBorder="1" applyAlignment="1">
      <alignment horizontal="center" vertical="center" wrapText="1"/>
    </xf>
    <xf numFmtId="0" fontId="0" fillId="0" borderId="36" xfId="0" applyBorder="1" applyAlignment="1">
      <alignment wrapText="1"/>
    </xf>
    <xf numFmtId="0" fontId="27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wrapText="1"/>
    </xf>
    <xf numFmtId="0" fontId="27" fillId="0" borderId="39" xfId="0" applyFont="1" applyBorder="1" applyAlignment="1">
      <alignment horizontal="center" vertical="center" wrapText="1"/>
    </xf>
    <xf numFmtId="0" fontId="0" fillId="0" borderId="40" xfId="0" applyBorder="1" applyAlignment="1">
      <alignment wrapText="1"/>
    </xf>
    <xf numFmtId="0" fontId="27" fillId="0" borderId="42" xfId="0" applyFont="1" applyBorder="1"/>
    <xf numFmtId="0" fontId="0" fillId="0" borderId="42" xfId="0" applyBorder="1"/>
    <xf numFmtId="0" fontId="0" fillId="0" borderId="43" xfId="0" applyBorder="1" applyAlignment="1">
      <alignment wrapText="1"/>
    </xf>
    <xf numFmtId="0" fontId="45" fillId="0" borderId="0" xfId="0" applyFont="1"/>
    <xf numFmtId="0" fontId="0" fillId="0" borderId="21" xfId="0" applyBorder="1" applyAlignment="1">
      <alignment horizontal="center"/>
    </xf>
    <xf numFmtId="0" fontId="27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46" fillId="0" borderId="0" xfId="0" applyFont="1"/>
    <xf numFmtId="0" fontId="1" fillId="0" borderId="44" xfId="0" applyFont="1" applyBorder="1"/>
    <xf numFmtId="0" fontId="27" fillId="0" borderId="19" xfId="0" applyFont="1" applyBorder="1"/>
    <xf numFmtId="0" fontId="1" fillId="0" borderId="26" xfId="0" applyFont="1" applyBorder="1"/>
    <xf numFmtId="0" fontId="27" fillId="0" borderId="27" xfId="0" applyFont="1" applyBorder="1"/>
    <xf numFmtId="0" fontId="27" fillId="0" borderId="28" xfId="0" applyFont="1" applyBorder="1"/>
    <xf numFmtId="0" fontId="1" fillId="0" borderId="22" xfId="0" applyFont="1" applyBorder="1"/>
    <xf numFmtId="0" fontId="1" fillId="0" borderId="25" xfId="0" applyFont="1" applyBorder="1"/>
    <xf numFmtId="0" fontId="1" fillId="0" borderId="45" xfId="0" applyFont="1" applyBorder="1"/>
    <xf numFmtId="0" fontId="1" fillId="0" borderId="23" xfId="0" applyFont="1" applyBorder="1"/>
    <xf numFmtId="0" fontId="47" fillId="0" borderId="0" xfId="0" applyFont="1" applyAlignment="1">
      <alignment horizontal="left"/>
    </xf>
    <xf numFmtId="0" fontId="44" fillId="0" borderId="0" xfId="0" applyFont="1"/>
    <xf numFmtId="0" fontId="0" fillId="0" borderId="0" xfId="0" applyAlignment="1">
      <alignment vertical="center"/>
    </xf>
    <xf numFmtId="0" fontId="27" fillId="0" borderId="25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7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45" xfId="0" applyFont="1" applyBorder="1" applyAlignment="1">
      <alignment wrapText="1"/>
    </xf>
    <xf numFmtId="0" fontId="1" fillId="0" borderId="2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7" fillId="0" borderId="26" xfId="0" applyFont="1" applyBorder="1" applyAlignment="1">
      <alignment horizontal="left" vertical="center"/>
    </xf>
    <xf numFmtId="0" fontId="27" fillId="0" borderId="28" xfId="0" applyFont="1" applyBorder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31" fillId="0" borderId="0" xfId="0" applyFont="1"/>
    <xf numFmtId="0" fontId="3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wrapText="1"/>
    </xf>
    <xf numFmtId="0" fontId="0" fillId="0" borderId="15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0" fontId="27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 vertical="center" wrapText="1"/>
    </xf>
    <xf numFmtId="0" fontId="48" fillId="0" borderId="0" xfId="0" applyFont="1"/>
    <xf numFmtId="0" fontId="32" fillId="0" borderId="28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32" fillId="0" borderId="0" xfId="1" applyFont="1"/>
    <xf numFmtId="0" fontId="49" fillId="0" borderId="0" xfId="0" applyFont="1"/>
    <xf numFmtId="0" fontId="50" fillId="0" borderId="0" xfId="0" applyFont="1"/>
    <xf numFmtId="0" fontId="0" fillId="0" borderId="0" xfId="0" applyAlignment="1">
      <alignment horizontal="right"/>
    </xf>
    <xf numFmtId="0" fontId="27" fillId="0" borderId="22" xfId="0" applyFont="1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27" fillId="0" borderId="46" xfId="0" applyFont="1" applyBorder="1"/>
    <xf numFmtId="0" fontId="0" fillId="2" borderId="27" xfId="0" applyFill="1" applyBorder="1"/>
    <xf numFmtId="0" fontId="0" fillId="5" borderId="27" xfId="0" applyFill="1" applyBorder="1"/>
    <xf numFmtId="0" fontId="0" fillId="4" borderId="27" xfId="0" applyFill="1" applyBorder="1"/>
    <xf numFmtId="0" fontId="0" fillId="3" borderId="17" xfId="0" applyFill="1" applyBorder="1"/>
    <xf numFmtId="0" fontId="27" fillId="0" borderId="21" xfId="0" applyFont="1" applyBorder="1"/>
    <xf numFmtId="0" fontId="0" fillId="3" borderId="27" xfId="0" applyFill="1" applyBorder="1"/>
    <xf numFmtId="0" fontId="27" fillId="0" borderId="17" xfId="0" applyFont="1" applyBorder="1"/>
    <xf numFmtId="0" fontId="27" fillId="0" borderId="18" xfId="0" applyFont="1" applyBorder="1"/>
    <xf numFmtId="0" fontId="51" fillId="0" borderId="15" xfId="0" applyFont="1" applyBorder="1"/>
    <xf numFmtId="0" fontId="51" fillId="0" borderId="16" xfId="0" applyFont="1" applyBorder="1"/>
    <xf numFmtId="0" fontId="51" fillId="0" borderId="0" xfId="0" applyFont="1"/>
    <xf numFmtId="0" fontId="51" fillId="0" borderId="18" xfId="0" applyFont="1" applyBorder="1"/>
    <xf numFmtId="0" fontId="51" fillId="0" borderId="20" xfId="0" applyFont="1" applyBorder="1"/>
    <xf numFmtId="0" fontId="51" fillId="0" borderId="21" xfId="0" applyFont="1" applyBorder="1"/>
    <xf numFmtId="0" fontId="0" fillId="2" borderId="26" xfId="0" applyFill="1" applyBorder="1"/>
    <xf numFmtId="0" fontId="0" fillId="2" borderId="28" xfId="0" applyFill="1" applyBorder="1"/>
    <xf numFmtId="0" fontId="0" fillId="8" borderId="26" xfId="0" applyFill="1" applyBorder="1"/>
    <xf numFmtId="0" fontId="0" fillId="8" borderId="27" xfId="0" applyFill="1" applyBorder="1"/>
    <xf numFmtId="0" fontId="0" fillId="8" borderId="28" xfId="0" applyFill="1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4" fillId="0" borderId="18" xfId="0" applyFont="1" applyBorder="1" applyAlignment="1">
      <alignment wrapText="1"/>
    </xf>
    <xf numFmtId="0" fontId="1" fillId="0" borderId="24" xfId="0" applyFont="1" applyBorder="1"/>
    <xf numFmtId="0" fontId="53" fillId="0" borderId="17" xfId="0" applyFont="1" applyBorder="1"/>
    <xf numFmtId="0" fontId="30" fillId="0" borderId="17" xfId="0" applyFont="1" applyBorder="1"/>
    <xf numFmtId="0" fontId="54" fillId="0" borderId="0" xfId="0" applyFont="1"/>
    <xf numFmtId="0" fontId="54" fillId="0" borderId="27" xfId="0" applyFont="1" applyBorder="1"/>
    <xf numFmtId="0" fontId="54" fillId="0" borderId="28" xfId="0" applyFont="1" applyBorder="1"/>
    <xf numFmtId="0" fontId="54" fillId="0" borderId="17" xfId="0" applyFont="1" applyBorder="1"/>
    <xf numFmtId="0" fontId="54" fillId="0" borderId="19" xfId="0" applyFont="1" applyBorder="1"/>
    <xf numFmtId="11" fontId="0" fillId="0" borderId="0" xfId="0" applyNumberFormat="1"/>
    <xf numFmtId="0" fontId="32" fillId="0" borderId="0" xfId="0" applyFont="1" applyAlignment="1">
      <alignment wrapText="1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3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47" fillId="0" borderId="0" xfId="0" applyFont="1" applyAlignment="1">
      <alignment horizontal="left"/>
    </xf>
    <xf numFmtId="0" fontId="44" fillId="2" borderId="29" xfId="0" applyFont="1" applyFill="1" applyBorder="1" applyAlignment="1">
      <alignment horizontal="left" wrapText="1"/>
    </xf>
    <xf numFmtId="0" fontId="44" fillId="2" borderId="30" xfId="0" applyFont="1" applyFill="1" applyBorder="1" applyAlignment="1">
      <alignment horizontal="left" wrapText="1"/>
    </xf>
    <xf numFmtId="0" fontId="44" fillId="2" borderId="31" xfId="0" applyFont="1" applyFill="1" applyBorder="1" applyAlignment="1">
      <alignment horizontal="left" wrapText="1"/>
    </xf>
    <xf numFmtId="0" fontId="27" fillId="0" borderId="14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35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8" fillId="0" borderId="15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44" fillId="8" borderId="29" xfId="0" applyFont="1" applyFill="1" applyBorder="1" applyAlignment="1">
      <alignment horizontal="left" wrapText="1"/>
    </xf>
    <xf numFmtId="0" fontId="44" fillId="8" borderId="30" xfId="0" applyFont="1" applyFill="1" applyBorder="1" applyAlignment="1">
      <alignment horizontal="left" wrapText="1"/>
    </xf>
    <xf numFmtId="0" fontId="44" fillId="8" borderId="31" xfId="0" applyFont="1" applyFill="1" applyBorder="1" applyAlignment="1">
      <alignment horizontal="left" wrapText="1"/>
    </xf>
    <xf numFmtId="0" fontId="12" fillId="9" borderId="24" xfId="0" applyFont="1" applyFill="1" applyBorder="1" applyAlignment="1">
      <alignment horizontal="left"/>
    </xf>
    <xf numFmtId="0" fontId="12" fillId="9" borderId="25" xfId="0" applyFont="1" applyFill="1" applyBorder="1" applyAlignment="1">
      <alignment horizontal="left"/>
    </xf>
    <xf numFmtId="0" fontId="12" fillId="9" borderId="23" xfId="0" applyFon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7" fillId="0" borderId="17" xfId="0" applyFont="1" applyBorder="1" applyAlignment="1">
      <alignment horizontal="left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6" fillId="0" borderId="1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41" fillId="0" borderId="14" xfId="0" applyFont="1" applyBorder="1" applyAlignment="1">
      <alignment horizontal="left" vertical="center"/>
    </xf>
    <xf numFmtId="0" fontId="41" fillId="0" borderId="19" xfId="0" applyFont="1" applyBorder="1" applyAlignment="1">
      <alignment horizontal="left" vertical="center"/>
    </xf>
    <xf numFmtId="0" fontId="27" fillId="0" borderId="14" xfId="0" applyFont="1" applyBorder="1" applyAlignment="1">
      <alignment vertical="center"/>
    </xf>
    <xf numFmtId="0" fontId="27" fillId="0" borderId="19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38" fillId="0" borderId="20" xfId="0" applyFont="1" applyBorder="1" applyAlignment="1">
      <alignment horizontal="center"/>
    </xf>
    <xf numFmtId="0" fontId="27" fillId="0" borderId="17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44" fillId="4" borderId="24" xfId="0" applyFont="1" applyFill="1" applyBorder="1" applyAlignment="1">
      <alignment horizontal="left" wrapText="1"/>
    </xf>
    <xf numFmtId="0" fontId="44" fillId="4" borderId="25" xfId="0" applyFont="1" applyFill="1" applyBorder="1" applyAlignment="1">
      <alignment horizontal="left" wrapText="1"/>
    </xf>
    <xf numFmtId="0" fontId="44" fillId="4" borderId="23" xfId="0" applyFont="1" applyFill="1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7" fillId="0" borderId="14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4" fillId="3" borderId="24" xfId="0" applyFont="1" applyFill="1" applyBorder="1" applyAlignment="1">
      <alignment horizontal="left" wrapText="1"/>
    </xf>
    <xf numFmtId="0" fontId="44" fillId="3" borderId="25" xfId="0" applyFont="1" applyFill="1" applyBorder="1" applyAlignment="1">
      <alignment horizontal="left" wrapText="1"/>
    </xf>
    <xf numFmtId="0" fontId="44" fillId="3" borderId="23" xfId="0" applyFont="1" applyFill="1" applyBorder="1" applyAlignment="1">
      <alignment horizontal="left" wrapText="1"/>
    </xf>
    <xf numFmtId="2" fontId="35" fillId="0" borderId="0" xfId="0" applyNumberFormat="1" applyFont="1" applyBorder="1"/>
    <xf numFmtId="0" fontId="55" fillId="0" borderId="0" xfId="0" applyFont="1" applyBorder="1"/>
    <xf numFmtId="0" fontId="0" fillId="10" borderId="0" xfId="0" applyFill="1"/>
    <xf numFmtId="0" fontId="0" fillId="0" borderId="20" xfId="0" applyFont="1" applyBorder="1"/>
    <xf numFmtId="0" fontId="0" fillId="0" borderId="0" xfId="0" applyBorder="1"/>
    <xf numFmtId="0" fontId="0" fillId="0" borderId="0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1" fillId="0" borderId="5" xfId="0" applyFont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EDF4FA"/>
      <color rgb="FFFFB8A7"/>
      <color rgb="FFFDAF9D"/>
      <color rgb="FFFF9E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Results!$B$53</c:f>
              <c:strCache>
                <c:ptCount val="1"/>
                <c:pt idx="0">
                  <c:v>Global warming</c:v>
                </c:pt>
              </c:strCache>
            </c:strRef>
          </c:tx>
          <c:spPr>
            <a:solidFill>
              <a:srgbClr val="83CCEB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Results!$C$53:$G$53</c:f>
              <c:numCache>
                <c:formatCode>General</c:formatCode>
                <c:ptCount val="5"/>
                <c:pt idx="0">
                  <c:v>2.4856121905887649</c:v>
                </c:pt>
                <c:pt idx="1">
                  <c:v>5.3703111112614597</c:v>
                </c:pt>
                <c:pt idx="2">
                  <c:v>7.4657597527359485</c:v>
                </c:pt>
                <c:pt idx="3">
                  <c:v>10.319609948852046</c:v>
                </c:pt>
                <c:pt idx="4">
                  <c:v>11.815481050037144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9-4E14-9223-50028A804A01}"/>
            </c:ext>
          </c:extLst>
        </c:ser>
        <c:ser>
          <c:idx val="6"/>
          <c:order val="1"/>
          <c:tx>
            <c:strRef>
              <c:f>Results!$B$54</c:f>
              <c:strCache>
                <c:ptCount val="1"/>
                <c:pt idx="0">
                  <c:v>Fine particulate matter formation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Results!$C$54:$G$54</c:f>
              <c:numCache>
                <c:formatCode>General</c:formatCode>
                <c:ptCount val="5"/>
                <c:pt idx="0">
                  <c:v>1.3509986178657576</c:v>
                </c:pt>
                <c:pt idx="1">
                  <c:v>2.0715354243159219</c:v>
                </c:pt>
                <c:pt idx="2">
                  <c:v>3.0981901400005172</c:v>
                </c:pt>
                <c:pt idx="3">
                  <c:v>4.0480116707954368</c:v>
                </c:pt>
                <c:pt idx="4">
                  <c:v>5.089394583268894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09-4E14-9223-50028A804A01}"/>
            </c:ext>
          </c:extLst>
        </c:ser>
        <c:ser>
          <c:idx val="2"/>
          <c:order val="2"/>
          <c:tx>
            <c:strRef>
              <c:f>Results!$B$50</c:f>
              <c:strCache>
                <c:ptCount val="1"/>
                <c:pt idx="0">
                  <c:v>Terrestrial acidification</c:v>
                </c:pt>
              </c:strCache>
            </c:strRef>
          </c:tx>
          <c:spPr>
            <a:solidFill>
              <a:srgbClr val="8ED973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Results!$C$50:$G$50</c:f>
              <c:numCache>
                <c:formatCode>General</c:formatCode>
                <c:ptCount val="5"/>
                <c:pt idx="0">
                  <c:v>0.62629698161084391</c:v>
                </c:pt>
                <c:pt idx="1">
                  <c:v>1.063240696428889</c:v>
                </c:pt>
                <c:pt idx="2">
                  <c:v>1.6104388978789945</c:v>
                </c:pt>
                <c:pt idx="3">
                  <c:v>2.0231847975192458</c:v>
                </c:pt>
                <c:pt idx="4">
                  <c:v>2.6021082518505132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09-4E14-9223-50028A804A01}"/>
            </c:ext>
          </c:extLst>
        </c:ser>
        <c:ser>
          <c:idx val="3"/>
          <c:order val="3"/>
          <c:tx>
            <c:strRef>
              <c:f>Results!$B$51</c:f>
              <c:strCache>
                <c:ptCount val="1"/>
                <c:pt idx="0">
                  <c:v>Freshwater eutrophication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Results!$C$51:$G$51</c:f>
              <c:numCache>
                <c:formatCode>General</c:formatCode>
                <c:ptCount val="5"/>
                <c:pt idx="0">
                  <c:v>0.38406011712242871</c:v>
                </c:pt>
                <c:pt idx="1">
                  <c:v>0.30386946730806996</c:v>
                </c:pt>
                <c:pt idx="2">
                  <c:v>0.32032666453707165</c:v>
                </c:pt>
                <c:pt idx="3">
                  <c:v>0.74680212617132602</c:v>
                </c:pt>
                <c:pt idx="4">
                  <c:v>0.75152395822026519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09-4E14-9223-50028A804A01}"/>
            </c:ext>
          </c:extLst>
        </c:ser>
        <c:ser>
          <c:idx val="4"/>
          <c:order val="4"/>
          <c:tx>
            <c:strRef>
              <c:f>Results!$B$52</c:f>
              <c:strCache>
                <c:ptCount val="1"/>
                <c:pt idx="0">
                  <c:v>Fossil resource scarcity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Results!$C$52:$G$52</c:f>
              <c:numCache>
                <c:formatCode>General</c:formatCode>
                <c:ptCount val="5"/>
                <c:pt idx="0">
                  <c:v>0.29514278506198521</c:v>
                </c:pt>
                <c:pt idx="1">
                  <c:v>0.29873349402043076</c:v>
                </c:pt>
                <c:pt idx="2">
                  <c:v>0.41622055879935643</c:v>
                </c:pt>
                <c:pt idx="3">
                  <c:v>0.55069935121416458</c:v>
                </c:pt>
                <c:pt idx="4">
                  <c:v>0.65209133823318244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09-4E14-9223-50028A804A01}"/>
            </c:ext>
          </c:extLst>
        </c:ser>
        <c:ser>
          <c:idx val="1"/>
          <c:order val="5"/>
          <c:tx>
            <c:strRef>
              <c:f>Results!$B$49</c:f>
              <c:strCache>
                <c:ptCount val="1"/>
                <c:pt idx="0">
                  <c:v>Marine eutrophication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Results!$C$49:$G$49</c:f>
              <c:numCache>
                <c:formatCode>General</c:formatCode>
                <c:ptCount val="5"/>
                <c:pt idx="0">
                  <c:v>0.19899726444563282</c:v>
                </c:pt>
                <c:pt idx="1">
                  <c:v>0.16871170036962191</c:v>
                </c:pt>
                <c:pt idx="2">
                  <c:v>0.17517823678220709</c:v>
                </c:pt>
                <c:pt idx="3">
                  <c:v>0.42925536612827087</c:v>
                </c:pt>
                <c:pt idx="4">
                  <c:v>0.41501430446929333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09-4E14-9223-50028A804A01}"/>
            </c:ext>
          </c:extLst>
        </c:ser>
        <c:ser>
          <c:idx val="0"/>
          <c:order val="6"/>
          <c:tx>
            <c:strRef>
              <c:f>Results!$B$48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Results!$C$48:$G$48</c:f>
              <c:numCache>
                <c:formatCode>General</c:formatCode>
                <c:ptCount val="5"/>
                <c:pt idx="0">
                  <c:v>2.4100673551423538E-2</c:v>
                </c:pt>
                <c:pt idx="1">
                  <c:v>3.0600996073731689E-2</c:v>
                </c:pt>
                <c:pt idx="2">
                  <c:v>2.9897993419877342E-2</c:v>
                </c:pt>
                <c:pt idx="3">
                  <c:v>4.7351003725694139E-2</c:v>
                </c:pt>
                <c:pt idx="4">
                  <c:v>4.6935586718413046E-2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09-4E14-9223-50028A804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80946696"/>
        <c:axId val="1480948744"/>
      </c:barChart>
      <c:catAx>
        <c:axId val="148094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48744"/>
        <c:crosses val="autoZero"/>
        <c:auto val="1"/>
        <c:lblAlgn val="ctr"/>
        <c:lblOffset val="100"/>
        <c:noMultiLvlLbl val="0"/>
      </c:catAx>
      <c:valAx>
        <c:axId val="1480948744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[CHF/kg]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4669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83489549783977"/>
          <c:y val="0.19477184531258421"/>
          <c:w val="0.25556640419947507"/>
          <c:h val="0.61284475627317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Results!B61</c:f>
              <c:strCache>
                <c:ptCount val="1"/>
                <c:pt idx="0">
                  <c:v>Gender wage gap</c:v>
                </c:pt>
              </c:strCache>
            </c:strRef>
          </c:tx>
          <c:spPr>
            <a:solidFill>
              <a:srgbClr val="83CCEB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Results!$C$61:$G$61</c:f>
              <c:numCache>
                <c:formatCode>General</c:formatCode>
                <c:ptCount val="5"/>
                <c:pt idx="0">
                  <c:v>0.59933486315605511</c:v>
                </c:pt>
                <c:pt idx="1">
                  <c:v>0.55040956820454034</c:v>
                </c:pt>
                <c:pt idx="2">
                  <c:v>0.60809765608615396</c:v>
                </c:pt>
                <c:pt idx="3">
                  <c:v>3.7516586071594513E-2</c:v>
                </c:pt>
                <c:pt idx="4">
                  <c:v>6.0929663921617618E-2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6-42AF-BC67-DDFC61C7D3AA}"/>
            </c:ext>
          </c:extLst>
        </c:ser>
        <c:ser>
          <c:idx val="6"/>
          <c:order val="1"/>
          <c:tx>
            <c:strRef>
              <c:f>Results!B62</c:f>
              <c:strCache>
                <c:ptCount val="1"/>
                <c:pt idx="0">
                  <c:v>Wage gap (minimum wage)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Results!$C$62:$G$62</c:f>
              <c:numCache>
                <c:formatCode>General</c:formatCode>
                <c:ptCount val="5"/>
                <c:pt idx="0">
                  <c:v>0.10541531326399861</c:v>
                </c:pt>
                <c:pt idx="1">
                  <c:v>9.680998156897834E-2</c:v>
                </c:pt>
                <c:pt idx="2">
                  <c:v>0.10695657611817269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6-42AF-BC67-DDFC61C7D3AA}"/>
            </c:ext>
          </c:extLst>
        </c:ser>
        <c:ser>
          <c:idx val="2"/>
          <c:order val="2"/>
          <c:tx>
            <c:strRef>
              <c:f>Results!B60</c:f>
              <c:strCache>
                <c:ptCount val="1"/>
                <c:pt idx="0">
                  <c:v>Workers rights</c:v>
                </c:pt>
              </c:strCache>
            </c:strRef>
          </c:tx>
          <c:spPr>
            <a:solidFill>
              <a:srgbClr val="8ED973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Results!$C$60:$G$60</c:f>
              <c:numCache>
                <c:formatCode>General</c:formatCode>
                <c:ptCount val="5"/>
                <c:pt idx="0">
                  <c:v>6.6659143108033841E-3</c:v>
                </c:pt>
                <c:pt idx="1">
                  <c:v>6.1217580405337211E-3</c:v>
                </c:pt>
                <c:pt idx="2">
                  <c:v>6.763375730764438E-3</c:v>
                </c:pt>
                <c:pt idx="3">
                  <c:v>1.3843112905574641E-2</c:v>
                </c:pt>
                <c:pt idx="4">
                  <c:v>2.2482222005916704E-2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6-42AF-BC67-DDFC61C7D3AA}"/>
            </c:ext>
          </c:extLst>
        </c:ser>
        <c:ser>
          <c:idx val="3"/>
          <c:order val="3"/>
          <c:tx>
            <c:strRef>
              <c:f>Results!B59</c:f>
              <c:strCache>
                <c:ptCount val="1"/>
                <c:pt idx="0">
                  <c:v>Child labour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Results!$C$59:$G$59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6.8140006008743648E-3</c:v>
                </c:pt>
                <c:pt idx="4">
                  <c:v>1.106643247817591E-2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26-42AF-BC67-DDFC61C7D3AA}"/>
            </c:ext>
          </c:extLst>
        </c:ser>
        <c:ser>
          <c:idx val="4"/>
          <c:order val="4"/>
          <c:tx>
            <c:strRef>
              <c:f>Results!B63</c:f>
              <c:strCache>
                <c:ptCount val="1"/>
                <c:pt idx="0">
                  <c:v>Occupational safety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Results!$C$63:$G$63</c:f>
              <c:numCache>
                <c:formatCode>General</c:formatCode>
                <c:ptCount val="5"/>
                <c:pt idx="0">
                  <c:v>6.6817034430303544E-3</c:v>
                </c:pt>
                <c:pt idx="1">
                  <c:v>6.136258264007469E-3</c:v>
                </c:pt>
                <c:pt idx="2">
                  <c:v>6.7793957137307131E-3</c:v>
                </c:pt>
                <c:pt idx="3">
                  <c:v>2.1845522752237498E-3</c:v>
                </c:pt>
                <c:pt idx="4">
                  <c:v>3.5478717518321106E-3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26-42AF-BC67-DDFC61C7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80946696"/>
        <c:axId val="1480948744"/>
      </c:barChart>
      <c:catAx>
        <c:axId val="148094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48744"/>
        <c:crosses val="autoZero"/>
        <c:auto val="1"/>
        <c:lblAlgn val="ctr"/>
        <c:lblOffset val="100"/>
        <c:noMultiLvlLbl val="0"/>
      </c:catAx>
      <c:valAx>
        <c:axId val="148094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[CHF/kg]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4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43358445740504"/>
          <c:y val="0.2356335103672485"/>
          <c:w val="0.25556640419947507"/>
          <c:h val="0.61284475627317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Results!$C$33</c:f>
              <c:strCache>
                <c:ptCount val="1"/>
                <c:pt idx="0">
                  <c:v>Premature Mortality</c:v>
                </c:pt>
              </c:strCache>
            </c:strRef>
          </c:tx>
          <c:spPr>
            <a:solidFill>
              <a:srgbClr val="83CCEB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Results!$D$33:$H$33</c:f>
              <c:numCache>
                <c:formatCode>General</c:formatCode>
                <c:ptCount val="5"/>
                <c:pt idx="0">
                  <c:v>18.255760233412616</c:v>
                </c:pt>
                <c:pt idx="1">
                  <c:v>13.879413849182114</c:v>
                </c:pt>
                <c:pt idx="2">
                  <c:v>0.99274709693120355</c:v>
                </c:pt>
                <c:pt idx="3">
                  <c:v>8.9767630595826393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0-4F57-94B3-5BB0F73BF846}"/>
            </c:ext>
          </c:extLst>
        </c:ser>
        <c:ser>
          <c:idx val="6"/>
          <c:order val="1"/>
          <c:tx>
            <c:strRef>
              <c:f>Results!$C$32</c:f>
              <c:strCache>
                <c:ptCount val="1"/>
                <c:pt idx="0">
                  <c:v>Welfare impairements in Behaviour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Results!$D$32:$H$32</c:f>
              <c:numCache>
                <c:formatCode>General</c:formatCode>
                <c:ptCount val="5"/>
                <c:pt idx="0">
                  <c:v>13.330733827822037</c:v>
                </c:pt>
                <c:pt idx="1">
                  <c:v>3.0140889654337815</c:v>
                </c:pt>
                <c:pt idx="2">
                  <c:v>1.0248863914361752</c:v>
                </c:pt>
                <c:pt idx="3">
                  <c:v>2.3585669359066905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0-4F57-94B3-5BB0F73BF846}"/>
            </c:ext>
          </c:extLst>
        </c:ser>
        <c:ser>
          <c:idx val="2"/>
          <c:order val="2"/>
          <c:tx>
            <c:strRef>
              <c:f>Results!$C$30</c:f>
              <c:strCache>
                <c:ptCount val="1"/>
                <c:pt idx="0">
                  <c:v>Welfare impairements in Environment</c:v>
                </c:pt>
              </c:strCache>
            </c:strRef>
          </c:tx>
          <c:spPr>
            <a:solidFill>
              <a:srgbClr val="8ED973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Results!$D$30:$H$30</c:f>
              <c:numCache>
                <c:formatCode>General</c:formatCode>
                <c:ptCount val="5"/>
                <c:pt idx="0">
                  <c:v>4.644328354277528</c:v>
                </c:pt>
                <c:pt idx="1">
                  <c:v>0.18098382990021195</c:v>
                </c:pt>
                <c:pt idx="2">
                  <c:v>1.4525175599883773</c:v>
                </c:pt>
                <c:pt idx="3">
                  <c:v>0.13320659191140091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40-4F57-94B3-5BB0F73BF846}"/>
            </c:ext>
          </c:extLst>
        </c:ser>
        <c:ser>
          <c:idx val="3"/>
          <c:order val="3"/>
          <c:tx>
            <c:strRef>
              <c:f>Results!$C$31</c:f>
              <c:strCache>
                <c:ptCount val="1"/>
                <c:pt idx="0">
                  <c:v>Welfare impairements in Health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Results!$D$31:$H$31</c:f>
              <c:numCache>
                <c:formatCode>General</c:formatCode>
                <c:ptCount val="5"/>
                <c:pt idx="0">
                  <c:v>3.521976805306791</c:v>
                </c:pt>
                <c:pt idx="1">
                  <c:v>0.45450547891461751</c:v>
                </c:pt>
                <c:pt idx="2">
                  <c:v>0.57493626836663458</c:v>
                </c:pt>
                <c:pt idx="3">
                  <c:v>0.43196531800368776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40-4F57-94B3-5BB0F73BF846}"/>
            </c:ext>
          </c:extLst>
        </c:ser>
        <c:ser>
          <c:idx val="4"/>
          <c:order val="4"/>
          <c:tx>
            <c:strRef>
              <c:f>Results!$C$29</c:f>
              <c:strCache>
                <c:ptCount val="1"/>
                <c:pt idx="0">
                  <c:v>Welfare impairements in Nutrition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Results!$D$29:$H$29</c:f>
              <c:numCache>
                <c:formatCode>General</c:formatCode>
                <c:ptCount val="5"/>
                <c:pt idx="0">
                  <c:v>0.8966096310499867</c:v>
                </c:pt>
                <c:pt idx="1">
                  <c:v>0.74817141508313467</c:v>
                </c:pt>
                <c:pt idx="2">
                  <c:v>0.91507713521087075</c:v>
                </c:pt>
                <c:pt idx="3">
                  <c:v>0.37317291952989651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40-4F57-94B3-5BB0F73BF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80946696"/>
        <c:axId val="1480948744"/>
      </c:barChart>
      <c:catAx>
        <c:axId val="148094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48744"/>
        <c:crosses val="autoZero"/>
        <c:auto val="1"/>
        <c:lblAlgn val="ctr"/>
        <c:lblOffset val="100"/>
        <c:noMultiLvlLbl val="0"/>
      </c:catAx>
      <c:valAx>
        <c:axId val="1480948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[CHF/kg]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4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43358445740504"/>
          <c:y val="0.23482830430639462"/>
          <c:w val="0.25556640419947507"/>
          <c:h val="0.61284475627317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Results!$B$41</c:f>
              <c:strCache>
                <c:ptCount val="1"/>
                <c:pt idx="0">
                  <c:v>Animal welfare</c:v>
                </c:pt>
              </c:strCache>
            </c:strRef>
          </c:tx>
          <c:spPr>
            <a:solidFill>
              <a:srgbClr val="83CCEB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Results!$C$41:$G$41</c:f>
              <c:numCache>
                <c:formatCode>General</c:formatCode>
                <c:ptCount val="5"/>
                <c:pt idx="0">
                  <c:v>40.649408851868955</c:v>
                </c:pt>
                <c:pt idx="1">
                  <c:v>18.277163538513861</c:v>
                </c:pt>
                <c:pt idx="2">
                  <c:v>4.9601644519332613</c:v>
                </c:pt>
                <c:pt idx="3">
                  <c:v>12.273674824934314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4-417B-A9AF-5C775884C5A0}"/>
            </c:ext>
          </c:extLst>
        </c:ser>
        <c:ser>
          <c:idx val="6"/>
          <c:order val="1"/>
          <c:tx>
            <c:strRef>
              <c:f>Results!$B$38</c:f>
              <c:strCache>
                <c:ptCount val="1"/>
                <c:pt idx="0">
                  <c:v>Environment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Results!$C$38:$G$38</c:f>
              <c:numCache>
                <c:formatCode>General</c:formatCode>
                <c:ptCount val="5"/>
                <c:pt idx="0">
                  <c:v>5.3652086302468369</c:v>
                </c:pt>
                <c:pt idx="1">
                  <c:v>9.3070028897781256</c:v>
                </c:pt>
                <c:pt idx="2">
                  <c:v>13.116012244153973</c:v>
                </c:pt>
                <c:pt idx="3">
                  <c:v>18.164914264406185</c:v>
                </c:pt>
                <c:pt idx="4">
                  <c:v>21.3725490727977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4-417B-A9AF-5C775884C5A0}"/>
            </c:ext>
          </c:extLst>
        </c:ser>
        <c:ser>
          <c:idx val="2"/>
          <c:order val="2"/>
          <c:tx>
            <c:strRef>
              <c:f>Results!$B$40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rgbClr val="8ED973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Results!$C$40:$G$40</c:f>
              <c:numCache>
                <c:formatCode>General</c:formatCode>
                <c:ptCount val="5"/>
                <c:pt idx="0">
                  <c:v>2.0992404621245373</c:v>
                </c:pt>
                <c:pt idx="1">
                  <c:v>2.0992404621245373</c:v>
                </c:pt>
                <c:pt idx="2">
                  <c:v>2.0992404621245373</c:v>
                </c:pt>
                <c:pt idx="3">
                  <c:v>2.0992404621245373</c:v>
                </c:pt>
                <c:pt idx="4">
                  <c:v>2.0992404621245373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4-417B-A9AF-5C775884C5A0}"/>
            </c:ext>
          </c:extLst>
        </c:ser>
        <c:ser>
          <c:idx val="4"/>
          <c:order val="3"/>
          <c:tx>
            <c:strRef>
              <c:f>Results!$B$39</c:f>
              <c:strCache>
                <c:ptCount val="1"/>
                <c:pt idx="0">
                  <c:v>Livelihoods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Results!$C$47:$G$47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Results!$C$39:$G$39</c:f>
              <c:numCache>
                <c:formatCode>General</c:formatCode>
                <c:ptCount val="5"/>
                <c:pt idx="0">
                  <c:v>0.71809779417388742</c:v>
                </c:pt>
                <c:pt idx="1">
                  <c:v>0.65947756607805985</c:v>
                </c:pt>
                <c:pt idx="2">
                  <c:v>0.72859700364882185</c:v>
                </c:pt>
                <c:pt idx="3">
                  <c:v>6.0358251853267271E-2</c:v>
                </c:pt>
                <c:pt idx="4">
                  <c:v>9.8026190157542326E-2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24-417B-A9AF-5C775884C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80946696"/>
        <c:axId val="1480948744"/>
      </c:barChart>
      <c:catAx>
        <c:axId val="148094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48744"/>
        <c:crosses val="autoZero"/>
        <c:auto val="1"/>
        <c:lblAlgn val="ctr"/>
        <c:lblOffset val="100"/>
        <c:noMultiLvlLbl val="0"/>
      </c:catAx>
      <c:valAx>
        <c:axId val="1480948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[CHF/kg]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4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602507593350151"/>
          <c:y val="0.41209649009592442"/>
          <c:w val="0.13159400074990626"/>
          <c:h val="0.23498858987274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Health!$M$15</c:f>
              <c:strCache>
                <c:ptCount val="1"/>
                <c:pt idx="0">
                  <c:v>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rgbClr val="215C98"/>
                </a:solidFill>
                <a:prstDash val="solid"/>
              </a:ln>
              <a:effectLst/>
            </c:spPr>
          </c:marker>
          <c:trendline>
            <c:name>Curve fitting for male data</c:name>
            <c:spPr>
              <a:ln w="9525" cap="rnd">
                <a:solidFill>
                  <a:srgbClr val="A6C9EC"/>
                </a:solidFill>
                <a:prstDash val="solid"/>
              </a:ln>
              <a:effectLst/>
            </c:spPr>
            <c:trendlineType val="poly"/>
            <c:order val="5"/>
            <c:forward val="30"/>
            <c:backward val="30"/>
            <c:intercept val="0"/>
            <c:dispRSqr val="0"/>
            <c:dispEq val="0"/>
          </c:trendline>
          <c:xVal>
            <c:numRef>
              <c:f>Health!$L$17:$L$215</c:f>
              <c:numCache>
                <c:formatCode>General</c:formatCode>
                <c:ptCount val="199"/>
                <c:pt idx="0">
                  <c:v>1.1948815573468901</c:v>
                </c:pt>
                <c:pt idx="1">
                  <c:v>2.3897631146937801</c:v>
                </c:pt>
                <c:pt idx="2">
                  <c:v>3.5846446720406702</c:v>
                </c:pt>
                <c:pt idx="3">
                  <c:v>4.7795262293875602</c:v>
                </c:pt>
                <c:pt idx="4">
                  <c:v>5.9744077867344503</c:v>
                </c:pt>
                <c:pt idx="5">
                  <c:v>7.1692893440813403</c:v>
                </c:pt>
                <c:pt idx="6">
                  <c:v>8.3641709014282295</c:v>
                </c:pt>
                <c:pt idx="7">
                  <c:v>9.5590524587751204</c:v>
                </c:pt>
                <c:pt idx="8">
                  <c:v>10.753934016122001</c:v>
                </c:pt>
                <c:pt idx="9">
                  <c:v>11.948815573468901</c:v>
                </c:pt>
                <c:pt idx="10">
                  <c:v>13.1436971308158</c:v>
                </c:pt>
                <c:pt idx="11">
                  <c:v>14.3385786881627</c:v>
                </c:pt>
                <c:pt idx="12">
                  <c:v>15.5334602455096</c:v>
                </c:pt>
                <c:pt idx="13">
                  <c:v>16.728341802856502</c:v>
                </c:pt>
                <c:pt idx="14">
                  <c:v>17.923223360203298</c:v>
                </c:pt>
                <c:pt idx="15">
                  <c:v>19.118104917550198</c:v>
                </c:pt>
                <c:pt idx="16">
                  <c:v>20.312986474897102</c:v>
                </c:pt>
                <c:pt idx="17">
                  <c:v>21.507868032244001</c:v>
                </c:pt>
                <c:pt idx="18">
                  <c:v>22.702749589590901</c:v>
                </c:pt>
                <c:pt idx="19">
                  <c:v>23.897631146937801</c:v>
                </c:pt>
                <c:pt idx="20">
                  <c:v>25.092512704284701</c:v>
                </c:pt>
                <c:pt idx="21">
                  <c:v>26.287394261631601</c:v>
                </c:pt>
                <c:pt idx="22">
                  <c:v>27.482275818978501</c:v>
                </c:pt>
                <c:pt idx="23">
                  <c:v>28.677157376325301</c:v>
                </c:pt>
                <c:pt idx="24">
                  <c:v>29.872038933672201</c:v>
                </c:pt>
                <c:pt idx="25">
                  <c:v>31.066920491019101</c:v>
                </c:pt>
                <c:pt idx="26">
                  <c:v>32.261802048366</c:v>
                </c:pt>
                <c:pt idx="27">
                  <c:v>33.456683605712897</c:v>
                </c:pt>
                <c:pt idx="28">
                  <c:v>34.6515651630598</c:v>
                </c:pt>
                <c:pt idx="29">
                  <c:v>35.846446720406703</c:v>
                </c:pt>
                <c:pt idx="30">
                  <c:v>37.0413282777536</c:v>
                </c:pt>
                <c:pt idx="31">
                  <c:v>38.236209835100503</c:v>
                </c:pt>
                <c:pt idx="32">
                  <c:v>39.4310913924473</c:v>
                </c:pt>
                <c:pt idx="33">
                  <c:v>40.625972949794203</c:v>
                </c:pt>
                <c:pt idx="34">
                  <c:v>41.8208545071411</c:v>
                </c:pt>
                <c:pt idx="35">
                  <c:v>43.015736064488003</c:v>
                </c:pt>
                <c:pt idx="36">
                  <c:v>44.210617621834899</c:v>
                </c:pt>
                <c:pt idx="37">
                  <c:v>45.405499179181803</c:v>
                </c:pt>
                <c:pt idx="38">
                  <c:v>46.600380736528699</c:v>
                </c:pt>
                <c:pt idx="39">
                  <c:v>47.795262293875602</c:v>
                </c:pt>
                <c:pt idx="40">
                  <c:v>48.990143851222498</c:v>
                </c:pt>
                <c:pt idx="41">
                  <c:v>50.185025408569402</c:v>
                </c:pt>
                <c:pt idx="42">
                  <c:v>51.379906965916199</c:v>
                </c:pt>
                <c:pt idx="43">
                  <c:v>52.574788523263102</c:v>
                </c:pt>
                <c:pt idx="44">
                  <c:v>53.769670080609998</c:v>
                </c:pt>
                <c:pt idx="45">
                  <c:v>54.964551637956902</c:v>
                </c:pt>
                <c:pt idx="46">
                  <c:v>56.159433195303798</c:v>
                </c:pt>
                <c:pt idx="47">
                  <c:v>57.354314752650701</c:v>
                </c:pt>
                <c:pt idx="48">
                  <c:v>58.549196309997598</c:v>
                </c:pt>
                <c:pt idx="49">
                  <c:v>59.744077867344501</c:v>
                </c:pt>
                <c:pt idx="50">
                  <c:v>60.938959424691397</c:v>
                </c:pt>
                <c:pt idx="51">
                  <c:v>62.133840982038301</c:v>
                </c:pt>
                <c:pt idx="52">
                  <c:v>63.328722539385097</c:v>
                </c:pt>
                <c:pt idx="53">
                  <c:v>64.523604096732001</c:v>
                </c:pt>
                <c:pt idx="54">
                  <c:v>65.718485654078904</c:v>
                </c:pt>
                <c:pt idx="55">
                  <c:v>66.913367211425793</c:v>
                </c:pt>
                <c:pt idx="56">
                  <c:v>68.108248768772697</c:v>
                </c:pt>
                <c:pt idx="57">
                  <c:v>69.3031303261196</c:v>
                </c:pt>
                <c:pt idx="58">
                  <c:v>70.498011883466503</c:v>
                </c:pt>
                <c:pt idx="59">
                  <c:v>71.692893440813407</c:v>
                </c:pt>
                <c:pt idx="60">
                  <c:v>72.887774998160296</c:v>
                </c:pt>
                <c:pt idx="61">
                  <c:v>74.0826565555071</c:v>
                </c:pt>
                <c:pt idx="62">
                  <c:v>75.277538112854003</c:v>
                </c:pt>
                <c:pt idx="63">
                  <c:v>76.472419670200907</c:v>
                </c:pt>
                <c:pt idx="64">
                  <c:v>77.667301227547796</c:v>
                </c:pt>
                <c:pt idx="65">
                  <c:v>78.862182784894699</c:v>
                </c:pt>
                <c:pt idx="66">
                  <c:v>80.057064342241603</c:v>
                </c:pt>
                <c:pt idx="67">
                  <c:v>81.251945899588506</c:v>
                </c:pt>
                <c:pt idx="68">
                  <c:v>82.446827456935395</c:v>
                </c:pt>
                <c:pt idx="69">
                  <c:v>83.641709014282299</c:v>
                </c:pt>
                <c:pt idx="70">
                  <c:v>84.836590571629102</c:v>
                </c:pt>
                <c:pt idx="71">
                  <c:v>86.031472128976006</c:v>
                </c:pt>
                <c:pt idx="72">
                  <c:v>87.226353686322895</c:v>
                </c:pt>
                <c:pt idx="73">
                  <c:v>88.421235243669798</c:v>
                </c:pt>
                <c:pt idx="74">
                  <c:v>89.616116801016702</c:v>
                </c:pt>
                <c:pt idx="75">
                  <c:v>90.810998358363605</c:v>
                </c:pt>
                <c:pt idx="76">
                  <c:v>92.005879915710494</c:v>
                </c:pt>
                <c:pt idx="77">
                  <c:v>93.200761473057398</c:v>
                </c:pt>
                <c:pt idx="78">
                  <c:v>94.395643030404301</c:v>
                </c:pt>
                <c:pt idx="79">
                  <c:v>95.590524587751204</c:v>
                </c:pt>
                <c:pt idx="80">
                  <c:v>96.785406145097994</c:v>
                </c:pt>
                <c:pt idx="81">
                  <c:v>97.980287702444897</c:v>
                </c:pt>
                <c:pt idx="82">
                  <c:v>99.175169259791801</c:v>
                </c:pt>
                <c:pt idx="83">
                  <c:v>100.370050817139</c:v>
                </c:pt>
                <c:pt idx="84">
                  <c:v>101.56493237448601</c:v>
                </c:pt>
                <c:pt idx="85">
                  <c:v>102.759813931832</c:v>
                </c:pt>
                <c:pt idx="86">
                  <c:v>103.954695489179</c:v>
                </c:pt>
                <c:pt idx="87">
                  <c:v>105.14957704652601</c:v>
                </c:pt>
                <c:pt idx="88">
                  <c:v>106.34445860387299</c:v>
                </c:pt>
                <c:pt idx="89">
                  <c:v>107.53934016122</c:v>
                </c:pt>
                <c:pt idx="90">
                  <c:v>108.734221718567</c:v>
                </c:pt>
                <c:pt idx="91">
                  <c:v>109.929103275914</c:v>
                </c:pt>
                <c:pt idx="92">
                  <c:v>111.12398483326101</c:v>
                </c:pt>
                <c:pt idx="93">
                  <c:v>112.31886639060799</c:v>
                </c:pt>
                <c:pt idx="94">
                  <c:v>113.513747947954</c:v>
                </c:pt>
                <c:pt idx="95">
                  <c:v>114.708629505301</c:v>
                </c:pt>
                <c:pt idx="96">
                  <c:v>115.90351106264799</c:v>
                </c:pt>
                <c:pt idx="97">
                  <c:v>117.098392619995</c:v>
                </c:pt>
                <c:pt idx="98">
                  <c:v>118.293274177342</c:v>
                </c:pt>
                <c:pt idx="99">
                  <c:v>119.488155734689</c:v>
                </c:pt>
                <c:pt idx="100">
                  <c:v>120.683037292036</c:v>
                </c:pt>
                <c:pt idx="101">
                  <c:v>121.87791884938299</c:v>
                </c:pt>
                <c:pt idx="102">
                  <c:v>123.07280040673</c:v>
                </c:pt>
                <c:pt idx="103">
                  <c:v>124.267681964077</c:v>
                </c:pt>
                <c:pt idx="104">
                  <c:v>125.46256352142299</c:v>
                </c:pt>
                <c:pt idx="105">
                  <c:v>126.65744507877</c:v>
                </c:pt>
                <c:pt idx="106">
                  <c:v>127.852326636117</c:v>
                </c:pt>
                <c:pt idx="107">
                  <c:v>129.047208193464</c:v>
                </c:pt>
                <c:pt idx="108">
                  <c:v>130.242089750811</c:v>
                </c:pt>
                <c:pt idx="109">
                  <c:v>131.43697130815801</c:v>
                </c:pt>
                <c:pt idx="110">
                  <c:v>132.63185286550501</c:v>
                </c:pt>
                <c:pt idx="111">
                  <c:v>133.82673442285201</c:v>
                </c:pt>
                <c:pt idx="112">
                  <c:v>135.02161598019899</c:v>
                </c:pt>
                <c:pt idx="113">
                  <c:v>136.216497537545</c:v>
                </c:pt>
                <c:pt idx="114">
                  <c:v>137.411379094892</c:v>
                </c:pt>
                <c:pt idx="115">
                  <c:v>138.606260652239</c:v>
                </c:pt>
                <c:pt idx="116">
                  <c:v>139.801142209586</c:v>
                </c:pt>
                <c:pt idx="117">
                  <c:v>140.99602376693301</c:v>
                </c:pt>
                <c:pt idx="118">
                  <c:v>142.19090532428001</c:v>
                </c:pt>
                <c:pt idx="119">
                  <c:v>143.38578688162701</c:v>
                </c:pt>
                <c:pt idx="120">
                  <c:v>144.58066843897399</c:v>
                </c:pt>
                <c:pt idx="121">
                  <c:v>145.77554999632099</c:v>
                </c:pt>
                <c:pt idx="122">
                  <c:v>146.970431553667</c:v>
                </c:pt>
                <c:pt idx="123">
                  <c:v>148.165313111014</c:v>
                </c:pt>
                <c:pt idx="124">
                  <c:v>149.360194668361</c:v>
                </c:pt>
                <c:pt idx="125">
                  <c:v>150.55507622570801</c:v>
                </c:pt>
                <c:pt idx="126">
                  <c:v>151.74995778305501</c:v>
                </c:pt>
                <c:pt idx="127">
                  <c:v>152.94483934040201</c:v>
                </c:pt>
                <c:pt idx="128">
                  <c:v>154.13972089774899</c:v>
                </c:pt>
                <c:pt idx="129">
                  <c:v>155.33460245509599</c:v>
                </c:pt>
                <c:pt idx="130">
                  <c:v>156.52948401244299</c:v>
                </c:pt>
                <c:pt idx="131">
                  <c:v>157.724365569789</c:v>
                </c:pt>
                <c:pt idx="132">
                  <c:v>158.919247127136</c:v>
                </c:pt>
                <c:pt idx="133">
                  <c:v>160.11412868448301</c:v>
                </c:pt>
                <c:pt idx="134">
                  <c:v>161.30901024183001</c:v>
                </c:pt>
                <c:pt idx="135">
                  <c:v>162.50389179917701</c:v>
                </c:pt>
                <c:pt idx="136">
                  <c:v>163.69877335652399</c:v>
                </c:pt>
                <c:pt idx="137">
                  <c:v>164.89365491387099</c:v>
                </c:pt>
                <c:pt idx="138">
                  <c:v>166.08853647121799</c:v>
                </c:pt>
                <c:pt idx="139">
                  <c:v>167.28341802856499</c:v>
                </c:pt>
                <c:pt idx="140">
                  <c:v>168.478299585911</c:v>
                </c:pt>
                <c:pt idx="141">
                  <c:v>169.67318114325801</c:v>
                </c:pt>
                <c:pt idx="142">
                  <c:v>170.86806270060501</c:v>
                </c:pt>
                <c:pt idx="143">
                  <c:v>172.06294425795201</c:v>
                </c:pt>
                <c:pt idx="144">
                  <c:v>173.25782581529899</c:v>
                </c:pt>
                <c:pt idx="145">
                  <c:v>174.45270737264599</c:v>
                </c:pt>
                <c:pt idx="146">
                  <c:v>175.64758892999299</c:v>
                </c:pt>
                <c:pt idx="147">
                  <c:v>176.84247048733999</c:v>
                </c:pt>
                <c:pt idx="148">
                  <c:v>178.037352044687</c:v>
                </c:pt>
                <c:pt idx="149">
                  <c:v>179.23223360203301</c:v>
                </c:pt>
                <c:pt idx="150">
                  <c:v>180.42711515938001</c:v>
                </c:pt>
                <c:pt idx="151">
                  <c:v>181.62199671672701</c:v>
                </c:pt>
                <c:pt idx="152">
                  <c:v>182.81687827407401</c:v>
                </c:pt>
                <c:pt idx="153">
                  <c:v>184.01175983142099</c:v>
                </c:pt>
                <c:pt idx="154">
                  <c:v>185.20664138876799</c:v>
                </c:pt>
                <c:pt idx="155">
                  <c:v>186.40152294611499</c:v>
                </c:pt>
                <c:pt idx="156">
                  <c:v>187.596404503462</c:v>
                </c:pt>
                <c:pt idx="157">
                  <c:v>188.791286060809</c:v>
                </c:pt>
                <c:pt idx="158">
                  <c:v>189.98616761815501</c:v>
                </c:pt>
                <c:pt idx="159">
                  <c:v>191.18104917550201</c:v>
                </c:pt>
                <c:pt idx="160">
                  <c:v>192.37593073284901</c:v>
                </c:pt>
                <c:pt idx="161">
                  <c:v>193.57081229019599</c:v>
                </c:pt>
                <c:pt idx="162">
                  <c:v>194.76569384754299</c:v>
                </c:pt>
                <c:pt idx="163">
                  <c:v>195.96057540488999</c:v>
                </c:pt>
                <c:pt idx="164">
                  <c:v>197.155456962237</c:v>
                </c:pt>
                <c:pt idx="165">
                  <c:v>198.350338519584</c:v>
                </c:pt>
                <c:pt idx="166">
                  <c:v>199.545220076931</c:v>
                </c:pt>
                <c:pt idx="167">
                  <c:v>200.74010163427701</c:v>
                </c:pt>
                <c:pt idx="168">
                  <c:v>201.93498319162401</c:v>
                </c:pt>
                <c:pt idx="169">
                  <c:v>203.12986474897099</c:v>
                </c:pt>
                <c:pt idx="170">
                  <c:v>204.32474630631799</c:v>
                </c:pt>
                <c:pt idx="171">
                  <c:v>205.51962786366499</c:v>
                </c:pt>
                <c:pt idx="172">
                  <c:v>206.714509421012</c:v>
                </c:pt>
                <c:pt idx="173">
                  <c:v>207.909390978359</c:v>
                </c:pt>
                <c:pt idx="174">
                  <c:v>209.104272535706</c:v>
                </c:pt>
                <c:pt idx="175">
                  <c:v>210.299154093053</c:v>
                </c:pt>
                <c:pt idx="176">
                  <c:v>211.49403565039901</c:v>
                </c:pt>
                <c:pt idx="177">
                  <c:v>212.68891720774599</c:v>
                </c:pt>
                <c:pt idx="178">
                  <c:v>213.88379876509299</c:v>
                </c:pt>
                <c:pt idx="179">
                  <c:v>215.07868032243999</c:v>
                </c:pt>
                <c:pt idx="180">
                  <c:v>216.273561879787</c:v>
                </c:pt>
                <c:pt idx="181">
                  <c:v>217.468443437134</c:v>
                </c:pt>
                <c:pt idx="182">
                  <c:v>218.663324994481</c:v>
                </c:pt>
                <c:pt idx="183">
                  <c:v>219.858206551828</c:v>
                </c:pt>
                <c:pt idx="184">
                  <c:v>221.05308810917501</c:v>
                </c:pt>
                <c:pt idx="185">
                  <c:v>222.24796966652099</c:v>
                </c:pt>
                <c:pt idx="186">
                  <c:v>223.44285122386799</c:v>
                </c:pt>
                <c:pt idx="187">
                  <c:v>224.63773278121499</c:v>
                </c:pt>
                <c:pt idx="188">
                  <c:v>225.832614338562</c:v>
                </c:pt>
                <c:pt idx="189">
                  <c:v>227.027495895909</c:v>
                </c:pt>
                <c:pt idx="190">
                  <c:v>228.222377453256</c:v>
                </c:pt>
                <c:pt idx="191">
                  <c:v>229.417259010603</c:v>
                </c:pt>
                <c:pt idx="192">
                  <c:v>230.61214056795001</c:v>
                </c:pt>
                <c:pt idx="193">
                  <c:v>231.80702212529701</c:v>
                </c:pt>
                <c:pt idx="194">
                  <c:v>233.00190368264299</c:v>
                </c:pt>
                <c:pt idx="195">
                  <c:v>234.19678523998999</c:v>
                </c:pt>
                <c:pt idx="196">
                  <c:v>235.391666797337</c:v>
                </c:pt>
                <c:pt idx="197">
                  <c:v>236.586548354684</c:v>
                </c:pt>
                <c:pt idx="198">
                  <c:v>237.781429912031</c:v>
                </c:pt>
              </c:numCache>
            </c:numRef>
          </c:xVal>
          <c:yVal>
            <c:numRef>
              <c:f>Health!$M$17:$M$215</c:f>
              <c:numCache>
                <c:formatCode>General</c:formatCode>
                <c:ptCount val="199"/>
                <c:pt idx="0">
                  <c:v>3.0815426004839059E-5</c:v>
                </c:pt>
                <c:pt idx="1">
                  <c:v>6.1262751428070033E-5</c:v>
                </c:pt>
                <c:pt idx="2">
                  <c:v>9.1386065487264966E-5</c:v>
                </c:pt>
                <c:pt idx="3">
                  <c:v>1.2122945739999551E-4</c:v>
                </c:pt>
                <c:pt idx="4">
                  <c:v>1.5083701638383379E-4</c:v>
                </c:pt>
                <c:pt idx="5">
                  <c:v>1.8025283165635174E-4</c:v>
                </c:pt>
                <c:pt idx="6">
                  <c:v>2.0952099243512097E-4</c:v>
                </c:pt>
                <c:pt idx="7">
                  <c:v>2.3868558793771352E-4</c:v>
                </c:pt>
                <c:pt idx="8">
                  <c:v>2.6779070738170135E-4</c:v>
                </c:pt>
                <c:pt idx="9">
                  <c:v>2.9688043998465658E-4</c:v>
                </c:pt>
                <c:pt idx="10">
                  <c:v>3.2599887496415064E-4</c:v>
                </c:pt>
                <c:pt idx="11">
                  <c:v>3.5519010153775533E-4</c:v>
                </c:pt>
                <c:pt idx="12">
                  <c:v>3.8449820892304341E-4</c:v>
                </c:pt>
                <c:pt idx="13">
                  <c:v>4.1396728633758635E-4</c:v>
                </c:pt>
                <c:pt idx="14">
                  <c:v>4.43641422998956E-4</c:v>
                </c:pt>
                <c:pt idx="15">
                  <c:v>4.735647081247227E-4</c:v>
                </c:pt>
                <c:pt idx="16">
                  <c:v>5.0378123093246176E-4</c:v>
                </c:pt>
                <c:pt idx="17">
                  <c:v>5.3433508063974058E-4</c:v>
                </c:pt>
                <c:pt idx="18">
                  <c:v>5.6527034646413504E-4</c:v>
                </c:pt>
                <c:pt idx="19">
                  <c:v>5.9663111762321675E-4</c:v>
                </c:pt>
                <c:pt idx="20">
                  <c:v>6.2846148333455616E-4</c:v>
                </c:pt>
                <c:pt idx="21">
                  <c:v>6.6080553281572501E-4</c:v>
                </c:pt>
                <c:pt idx="22">
                  <c:v>6.9370735528429407E-4</c:v>
                </c:pt>
                <c:pt idx="23">
                  <c:v>7.2721103995783865E-4</c:v>
                </c:pt>
                <c:pt idx="24">
                  <c:v>7.6136067605392973E-4</c:v>
                </c:pt>
                <c:pt idx="25">
                  <c:v>7.9620035279013603E-4</c:v>
                </c:pt>
                <c:pt idx="26">
                  <c:v>8.3177415938403372E-4</c:v>
                </c:pt>
                <c:pt idx="27">
                  <c:v>8.6812618505319216E-4</c:v>
                </c:pt>
                <c:pt idx="28">
                  <c:v>9.0977947016796759E-4</c:v>
                </c:pt>
                <c:pt idx="29">
                  <c:v>9.5393167181562254E-4</c:v>
                </c:pt>
                <c:pt idx="30">
                  <c:v>9.9917004984328745E-4</c:v>
                </c:pt>
                <c:pt idx="31">
                  <c:v>1.0457620798146714E-3</c:v>
                </c:pt>
                <c:pt idx="32">
                  <c:v>1.0935893114187444E-3</c:v>
                </c:pt>
                <c:pt idx="33">
                  <c:v>1.1425424789848998E-3</c:v>
                </c:pt>
                <c:pt idx="34">
                  <c:v>1.1925246611854984E-3</c:v>
                </c:pt>
                <c:pt idx="35">
                  <c:v>1.2434392797362141E-3</c:v>
                </c:pt>
                <c:pt idx="36">
                  <c:v>1.2951726703990169E-3</c:v>
                </c:pt>
                <c:pt idx="37">
                  <c:v>1.347624550439297E-3</c:v>
                </c:pt>
                <c:pt idx="38">
                  <c:v>1.4007077040274834E-3</c:v>
                </c:pt>
                <c:pt idx="39">
                  <c:v>1.4543366639295924E-3</c:v>
                </c:pt>
                <c:pt idx="40">
                  <c:v>1.5084135694418809E-3</c:v>
                </c:pt>
                <c:pt idx="41">
                  <c:v>1.5628555356102837E-3</c:v>
                </c:pt>
                <c:pt idx="42">
                  <c:v>1.6175911484712117E-3</c:v>
                </c:pt>
                <c:pt idx="43">
                  <c:v>1.672551295748653E-3</c:v>
                </c:pt>
                <c:pt idx="44">
                  <c:v>1.7276596581720413E-3</c:v>
                </c:pt>
                <c:pt idx="45">
                  <c:v>1.7828527533580998E-3</c:v>
                </c:pt>
                <c:pt idx="46">
                  <c:v>1.8380770540722059E-3</c:v>
                </c:pt>
                <c:pt idx="47">
                  <c:v>1.8932815538313229E-3</c:v>
                </c:pt>
                <c:pt idx="48">
                  <c:v>1.9484096772599969E-3</c:v>
                </c:pt>
                <c:pt idx="49">
                  <c:v>2.0034171460544797E-3</c:v>
                </c:pt>
                <c:pt idx="50">
                  <c:v>2.0582664023456473E-3</c:v>
                </c:pt>
                <c:pt idx="51">
                  <c:v>2.1129218720640475E-3</c:v>
                </c:pt>
                <c:pt idx="52">
                  <c:v>2.1673463190184749E-3</c:v>
                </c:pt>
                <c:pt idx="53">
                  <c:v>2.2215084032045332E-3</c:v>
                </c:pt>
                <c:pt idx="54">
                  <c:v>2.2753819694779245E-3</c:v>
                </c:pt>
                <c:pt idx="55">
                  <c:v>2.3289424489654469E-3</c:v>
                </c:pt>
                <c:pt idx="56">
                  <c:v>2.3821639277044229E-3</c:v>
                </c:pt>
                <c:pt idx="57">
                  <c:v>2.435026483319992E-3</c:v>
                </c:pt>
                <c:pt idx="58">
                  <c:v>2.4875132719686284E-3</c:v>
                </c:pt>
                <c:pt idx="59">
                  <c:v>2.5396084050249624E-3</c:v>
                </c:pt>
                <c:pt idx="60">
                  <c:v>2.5912939092610486E-3</c:v>
                </c:pt>
                <c:pt idx="61">
                  <c:v>2.6425563377478413E-3</c:v>
                </c:pt>
                <c:pt idx="62">
                  <c:v>2.6933841366904103E-3</c:v>
                </c:pt>
                <c:pt idx="63">
                  <c:v>2.7437663598838522E-3</c:v>
                </c:pt>
                <c:pt idx="64">
                  <c:v>2.7936916805714643E-3</c:v>
                </c:pt>
                <c:pt idx="65">
                  <c:v>2.8431512531850956E-3</c:v>
                </c:pt>
                <c:pt idx="66">
                  <c:v>2.8921371634182524E-3</c:v>
                </c:pt>
                <c:pt idx="67">
                  <c:v>2.9406416839911267E-3</c:v>
                </c:pt>
                <c:pt idx="68">
                  <c:v>2.988657012472232E-3</c:v>
                </c:pt>
                <c:pt idx="69">
                  <c:v>3.0361774746412175E-3</c:v>
                </c:pt>
                <c:pt idx="70">
                  <c:v>3.0831978961082178E-3</c:v>
                </c:pt>
                <c:pt idx="71">
                  <c:v>3.1297131965621985E-3</c:v>
                </c:pt>
                <c:pt idx="72">
                  <c:v>3.1757192183976238E-3</c:v>
                </c:pt>
                <c:pt idx="73">
                  <c:v>3.2212118779759579E-3</c:v>
                </c:pt>
                <c:pt idx="74">
                  <c:v>3.2661880965920357E-3</c:v>
                </c:pt>
                <c:pt idx="75">
                  <c:v>3.310645292014918E-3</c:v>
                </c:pt>
                <c:pt idx="76">
                  <c:v>3.3545811169774574E-3</c:v>
                </c:pt>
                <c:pt idx="77">
                  <c:v>3.3979943032078396E-3</c:v>
                </c:pt>
                <c:pt idx="78">
                  <c:v>3.4408840738989659E-3</c:v>
                </c:pt>
                <c:pt idx="79">
                  <c:v>3.4832500139386031E-3</c:v>
                </c:pt>
                <c:pt idx="80">
                  <c:v>3.5250924768313596E-3</c:v>
                </c:pt>
                <c:pt idx="81">
                  <c:v>3.5664124480421474E-3</c:v>
                </c:pt>
                <c:pt idx="82">
                  <c:v>3.6072113280994798E-3</c:v>
                </c:pt>
                <c:pt idx="83">
                  <c:v>3.6474909897694675E-3</c:v>
                </c:pt>
                <c:pt idx="84">
                  <c:v>3.6872546298428854E-3</c:v>
                </c:pt>
                <c:pt idx="85">
                  <c:v>3.7265057261933214E-3</c:v>
                </c:pt>
                <c:pt idx="86">
                  <c:v>3.7652480525864713E-3</c:v>
                </c:pt>
                <c:pt idx="87">
                  <c:v>3.8034859544276763E-3</c:v>
                </c:pt>
                <c:pt idx="88">
                  <c:v>3.8412255613884776E-3</c:v>
                </c:pt>
                <c:pt idx="89">
                  <c:v>3.8784728837335052E-3</c:v>
                </c:pt>
                <c:pt idx="90">
                  <c:v>3.9152340645890026E-3</c:v>
                </c:pt>
                <c:pt idx="91">
                  <c:v>3.9515158780722278E-3</c:v>
                </c:pt>
                <c:pt idx="92">
                  <c:v>3.98732735954939E-3</c:v>
                </c:pt>
                <c:pt idx="93">
                  <c:v>4.0226768467444942E-3</c:v>
                </c:pt>
                <c:pt idx="94">
                  <c:v>4.0575726597910141E-3</c:v>
                </c:pt>
                <c:pt idx="95">
                  <c:v>4.092023796905717E-3</c:v>
                </c:pt>
                <c:pt idx="96">
                  <c:v>4.1260417757484676E-3</c:v>
                </c:pt>
                <c:pt idx="97">
                  <c:v>4.1596368410986529E-3</c:v>
                </c:pt>
                <c:pt idx="98">
                  <c:v>4.1928190605628407E-3</c:v>
                </c:pt>
                <c:pt idx="99">
                  <c:v>4.2255991796588824E-3</c:v>
                </c:pt>
                <c:pt idx="100">
                  <c:v>4.2579905346572609E-3</c:v>
                </c:pt>
                <c:pt idx="101">
                  <c:v>4.2900046336064659E-3</c:v>
                </c:pt>
                <c:pt idx="102">
                  <c:v>4.321652665670638E-3</c:v>
                </c:pt>
                <c:pt idx="103">
                  <c:v>4.3529464568253613E-3</c:v>
                </c:pt>
                <c:pt idx="104">
                  <c:v>4.3839003167559449E-3</c:v>
                </c:pt>
                <c:pt idx="105">
                  <c:v>4.4145262699871934E-3</c:v>
                </c:pt>
                <c:pt idx="106">
                  <c:v>4.4448359060641736E-3</c:v>
                </c:pt>
                <c:pt idx="107">
                  <c:v>4.4748413697969416E-3</c:v>
                </c:pt>
                <c:pt idx="108">
                  <c:v>4.5045570026751702E-3</c:v>
                </c:pt>
                <c:pt idx="109">
                  <c:v>4.5339945777419588E-3</c:v>
                </c:pt>
                <c:pt idx="110">
                  <c:v>4.5631653533798038E-3</c:v>
                </c:pt>
                <c:pt idx="111">
                  <c:v>4.5920810321951732E-3</c:v>
                </c:pt>
                <c:pt idx="112">
                  <c:v>4.6207550854652129E-3</c:v>
                </c:pt>
                <c:pt idx="113">
                  <c:v>4.6491983340404622E-3</c:v>
                </c:pt>
                <c:pt idx="114">
                  <c:v>4.6774210393203302E-3</c:v>
                </c:pt>
                <c:pt idx="115">
                  <c:v>4.7054337684368829E-3</c:v>
                </c:pt>
                <c:pt idx="116">
                  <c:v>4.7332483811110149E-3</c:v>
                </c:pt>
                <c:pt idx="117">
                  <c:v>4.7608741829496598E-3</c:v>
                </c:pt>
                <c:pt idx="118">
                  <c:v>4.7883199308244419E-3</c:v>
                </c:pt>
                <c:pt idx="119">
                  <c:v>4.8155945616797985E-3</c:v>
                </c:pt>
                <c:pt idx="120">
                  <c:v>4.8427078249278109E-3</c:v>
                </c:pt>
                <c:pt idx="121">
                  <c:v>4.8696672128073232E-3</c:v>
                </c:pt>
                <c:pt idx="122">
                  <c:v>4.8964797215231256E-3</c:v>
                </c:pt>
                <c:pt idx="123">
                  <c:v>4.9231524212570692E-3</c:v>
                </c:pt>
                <c:pt idx="124">
                  <c:v>4.9496928296545381E-3</c:v>
                </c:pt>
                <c:pt idx="125">
                  <c:v>4.9761066240325749E-3</c:v>
                </c:pt>
                <c:pt idx="126">
                  <c:v>5.0023990782196437E-3</c:v>
                </c:pt>
                <c:pt idx="127">
                  <c:v>5.0285754827307048E-3</c:v>
                </c:pt>
                <c:pt idx="128">
                  <c:v>5.0546413637739263E-3</c:v>
                </c:pt>
                <c:pt idx="129">
                  <c:v>5.0806008638058535E-3</c:v>
                </c:pt>
                <c:pt idx="130">
                  <c:v>5.1064578348808121E-3</c:v>
                </c:pt>
                <c:pt idx="131">
                  <c:v>5.1322161439329968E-3</c:v>
                </c:pt>
                <c:pt idx="132">
                  <c:v>5.1578798208322656E-3</c:v>
                </c:pt>
                <c:pt idx="133">
                  <c:v>5.1834519145914776E-3</c:v>
                </c:pt>
                <c:pt idx="134">
                  <c:v>5.2089352900700579E-3</c:v>
                </c:pt>
                <c:pt idx="135">
                  <c:v>5.2343328628156943E-3</c:v>
                </c:pt>
                <c:pt idx="136">
                  <c:v>5.2596477228198423E-3</c:v>
                </c:pt>
                <c:pt idx="137">
                  <c:v>5.284882270260121E-3</c:v>
                </c:pt>
                <c:pt idx="138">
                  <c:v>5.3100387997931419E-3</c:v>
                </c:pt>
                <c:pt idx="139">
                  <c:v>5.3351196943652503E-3</c:v>
                </c:pt>
                <c:pt idx="140">
                  <c:v>5.3601276682505175E-3</c:v>
                </c:pt>
                <c:pt idx="141">
                  <c:v>5.3850647749411002E-3</c:v>
                </c:pt>
                <c:pt idx="142">
                  <c:v>5.4099330155353122E-3</c:v>
                </c:pt>
                <c:pt idx="143">
                  <c:v>5.4347345418598514E-3</c:v>
                </c:pt>
                <c:pt idx="144">
                  <c:v>5.4594717677701656E-3</c:v>
                </c:pt>
                <c:pt idx="145">
                  <c:v>5.4841466222010308E-3</c:v>
                </c:pt>
                <c:pt idx="146">
                  <c:v>5.5087610358159371E-3</c:v>
                </c:pt>
                <c:pt idx="147">
                  <c:v>5.5333171954005432E-3</c:v>
                </c:pt>
                <c:pt idx="148">
                  <c:v>5.5578172208247661E-3</c:v>
                </c:pt>
                <c:pt idx="149">
                  <c:v>5.5822629762962228E-3</c:v>
                </c:pt>
                <c:pt idx="150">
                  <c:v>5.6066563071484566E-3</c:v>
                </c:pt>
                <c:pt idx="151">
                  <c:v>5.6309992192233559E-3</c:v>
                </c:pt>
                <c:pt idx="152">
                  <c:v>5.6552940168742866E-3</c:v>
                </c:pt>
                <c:pt idx="153">
                  <c:v>5.6795423632198336E-3</c:v>
                </c:pt>
                <c:pt idx="154">
                  <c:v>5.7037459054281436E-3</c:v>
                </c:pt>
                <c:pt idx="155">
                  <c:v>5.7279065069848582E-3</c:v>
                </c:pt>
                <c:pt idx="156">
                  <c:v>5.7520261497789292E-3</c:v>
                </c:pt>
                <c:pt idx="157">
                  <c:v>5.7761064552026078E-3</c:v>
                </c:pt>
                <c:pt idx="158">
                  <c:v>5.8001489622100076E-3</c:v>
                </c:pt>
                <c:pt idx="159">
                  <c:v>5.8241552239906794E-3</c:v>
                </c:pt>
                <c:pt idx="160">
                  <c:v>5.8481269335260867E-3</c:v>
                </c:pt>
                <c:pt idx="161">
                  <c:v>5.8720654052387359E-3</c:v>
                </c:pt>
                <c:pt idx="162">
                  <c:v>5.8959719028259007E-3</c:v>
                </c:pt>
                <c:pt idx="163">
                  <c:v>5.9198477420417447E-3</c:v>
                </c:pt>
                <c:pt idx="164">
                  <c:v>5.9436945532065008E-3</c:v>
                </c:pt>
                <c:pt idx="165">
                  <c:v>5.9675133073194856E-3</c:v>
                </c:pt>
                <c:pt idx="166">
                  <c:v>5.9913048843383962E-3</c:v>
                </c:pt>
                <c:pt idx="167">
                  <c:v>6.0150701591701501E-3</c:v>
                </c:pt>
                <c:pt idx="168">
                  <c:v>6.0388102603687859E-3</c:v>
                </c:pt>
                <c:pt idx="169">
                  <c:v>6.062525734045747E-3</c:v>
                </c:pt>
                <c:pt idx="170">
                  <c:v>6.0862171130177146E-3</c:v>
                </c:pt>
                <c:pt idx="171">
                  <c:v>6.1098851016668787E-3</c:v>
                </c:pt>
                <c:pt idx="172">
                  <c:v>6.1335305946053969E-3</c:v>
                </c:pt>
                <c:pt idx="173">
                  <c:v>6.1571540452793946E-3</c:v>
                </c:pt>
                <c:pt idx="174">
                  <c:v>6.1807557663940841E-3</c:v>
                </c:pt>
                <c:pt idx="175">
                  <c:v>6.2043358127351813E-3</c:v>
                </c:pt>
                <c:pt idx="176">
                  <c:v>6.2278945429135512E-3</c:v>
                </c:pt>
                <c:pt idx="177">
                  <c:v>6.2514321680211199E-3</c:v>
                </c:pt>
                <c:pt idx="178">
                  <c:v>6.2749488697669319E-3</c:v>
                </c:pt>
                <c:pt idx="179">
                  <c:v>6.2984447898484994E-3</c:v>
                </c:pt>
                <c:pt idx="180">
                  <c:v>6.3219201865692314E-3</c:v>
                </c:pt>
                <c:pt idx="181">
                  <c:v>6.345375229321739E-3</c:v>
                </c:pt>
                <c:pt idx="182">
                  <c:v>6.3688100054629382E-3</c:v>
                </c:pt>
                <c:pt idx="183">
                  <c:v>6.3922243585394327E-3</c:v>
                </c:pt>
                <c:pt idx="184">
                  <c:v>6.4156182623802994E-3</c:v>
                </c:pt>
                <c:pt idx="185">
                  <c:v>6.4389918332119498E-3</c:v>
                </c:pt>
                <c:pt idx="186">
                  <c:v>6.4623451110146241E-3</c:v>
                </c:pt>
                <c:pt idx="187">
                  <c:v>6.4856777380554089E-3</c:v>
                </c:pt>
                <c:pt idx="188">
                  <c:v>6.5089896872046922E-3</c:v>
                </c:pt>
                <c:pt idx="189">
                  <c:v>6.5322809392483481E-3</c:v>
                </c:pt>
                <c:pt idx="190">
                  <c:v>6.5555514650279048E-3</c:v>
                </c:pt>
                <c:pt idx="191">
                  <c:v>6.5788011869444812E-3</c:v>
                </c:pt>
                <c:pt idx="192">
                  <c:v>6.6020298290523048E-3</c:v>
                </c:pt>
                <c:pt idx="193">
                  <c:v>6.6252373629094715E-3</c:v>
                </c:pt>
                <c:pt idx="194">
                  <c:v>6.648423831024132E-3</c:v>
                </c:pt>
                <c:pt idx="195">
                  <c:v>6.6715894386542955E-3</c:v>
                </c:pt>
                <c:pt idx="196">
                  <c:v>6.6947339101145953E-3</c:v>
                </c:pt>
                <c:pt idx="197">
                  <c:v>6.7178563712472442E-3</c:v>
                </c:pt>
                <c:pt idx="198">
                  <c:v>6.7409595388925256E-3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58-4144-AD29-59D39678A923}"/>
            </c:ext>
          </c:extLst>
        </c:ser>
        <c:ser>
          <c:idx val="1"/>
          <c:order val="1"/>
          <c:tx>
            <c:strRef>
              <c:f>Health!N15</c:f>
              <c:strCache>
                <c:ptCount val="1"/>
                <c:pt idx="0">
                  <c:v>Female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rgbClr val="BE5014"/>
                </a:solidFill>
                <a:prstDash val="solid"/>
              </a:ln>
              <a:effectLst/>
            </c:spPr>
          </c:marker>
          <c:trendline>
            <c:name>Curve fitting for female data</c:name>
            <c:spPr>
              <a:ln w="12700" cap="rnd">
                <a:solidFill>
                  <a:srgbClr val="E97132"/>
                </a:solidFill>
                <a:prstDash val="solid"/>
              </a:ln>
              <a:effectLst/>
            </c:spPr>
            <c:trendlineType val="poly"/>
            <c:order val="5"/>
            <c:forward val="30"/>
            <c:backward val="30"/>
            <c:intercept val="0"/>
            <c:dispRSqr val="0"/>
            <c:dispEq val="0"/>
          </c:trendline>
          <c:xVal>
            <c:numRef>
              <c:f>Health!$L$17:$L$215</c:f>
              <c:numCache>
                <c:formatCode>General</c:formatCode>
                <c:ptCount val="199"/>
                <c:pt idx="0">
                  <c:v>1.1948815573468901</c:v>
                </c:pt>
                <c:pt idx="1">
                  <c:v>2.3897631146937801</c:v>
                </c:pt>
                <c:pt idx="2">
                  <c:v>3.5846446720406702</c:v>
                </c:pt>
                <c:pt idx="3">
                  <c:v>4.7795262293875602</c:v>
                </c:pt>
                <c:pt idx="4">
                  <c:v>5.9744077867344503</c:v>
                </c:pt>
                <c:pt idx="5">
                  <c:v>7.1692893440813403</c:v>
                </c:pt>
                <c:pt idx="6">
                  <c:v>8.3641709014282295</c:v>
                </c:pt>
                <c:pt idx="7">
                  <c:v>9.5590524587751204</c:v>
                </c:pt>
                <c:pt idx="8">
                  <c:v>10.753934016122001</c:v>
                </c:pt>
                <c:pt idx="9">
                  <c:v>11.948815573468901</c:v>
                </c:pt>
                <c:pt idx="10">
                  <c:v>13.1436971308158</c:v>
                </c:pt>
                <c:pt idx="11">
                  <c:v>14.3385786881627</c:v>
                </c:pt>
                <c:pt idx="12">
                  <c:v>15.5334602455096</c:v>
                </c:pt>
                <c:pt idx="13">
                  <c:v>16.728341802856502</c:v>
                </c:pt>
                <c:pt idx="14">
                  <c:v>17.923223360203298</c:v>
                </c:pt>
                <c:pt idx="15">
                  <c:v>19.118104917550198</c:v>
                </c:pt>
                <c:pt idx="16">
                  <c:v>20.312986474897102</c:v>
                </c:pt>
                <c:pt idx="17">
                  <c:v>21.507868032244001</c:v>
                </c:pt>
                <c:pt idx="18">
                  <c:v>22.702749589590901</c:v>
                </c:pt>
                <c:pt idx="19">
                  <c:v>23.897631146937801</c:v>
                </c:pt>
                <c:pt idx="20">
                  <c:v>25.092512704284701</c:v>
                </c:pt>
                <c:pt idx="21">
                  <c:v>26.287394261631601</c:v>
                </c:pt>
                <c:pt idx="22">
                  <c:v>27.482275818978501</c:v>
                </c:pt>
                <c:pt idx="23">
                  <c:v>28.677157376325301</c:v>
                </c:pt>
                <c:pt idx="24">
                  <c:v>29.872038933672201</c:v>
                </c:pt>
                <c:pt idx="25">
                  <c:v>31.066920491019101</c:v>
                </c:pt>
                <c:pt idx="26">
                  <c:v>32.261802048366</c:v>
                </c:pt>
                <c:pt idx="27">
                  <c:v>33.456683605712897</c:v>
                </c:pt>
                <c:pt idx="28">
                  <c:v>34.6515651630598</c:v>
                </c:pt>
                <c:pt idx="29">
                  <c:v>35.846446720406703</c:v>
                </c:pt>
                <c:pt idx="30">
                  <c:v>37.0413282777536</c:v>
                </c:pt>
                <c:pt idx="31">
                  <c:v>38.236209835100503</c:v>
                </c:pt>
                <c:pt idx="32">
                  <c:v>39.4310913924473</c:v>
                </c:pt>
                <c:pt idx="33">
                  <c:v>40.625972949794203</c:v>
                </c:pt>
                <c:pt idx="34">
                  <c:v>41.8208545071411</c:v>
                </c:pt>
                <c:pt idx="35">
                  <c:v>43.015736064488003</c:v>
                </c:pt>
                <c:pt idx="36">
                  <c:v>44.210617621834899</c:v>
                </c:pt>
                <c:pt idx="37">
                  <c:v>45.405499179181803</c:v>
                </c:pt>
                <c:pt idx="38">
                  <c:v>46.600380736528699</c:v>
                </c:pt>
                <c:pt idx="39">
                  <c:v>47.795262293875602</c:v>
                </c:pt>
                <c:pt idx="40">
                  <c:v>48.990143851222498</c:v>
                </c:pt>
                <c:pt idx="41">
                  <c:v>50.185025408569402</c:v>
                </c:pt>
                <c:pt idx="42">
                  <c:v>51.379906965916199</c:v>
                </c:pt>
                <c:pt idx="43">
                  <c:v>52.574788523263102</c:v>
                </c:pt>
                <c:pt idx="44">
                  <c:v>53.769670080609998</c:v>
                </c:pt>
                <c:pt idx="45">
                  <c:v>54.964551637956902</c:v>
                </c:pt>
                <c:pt idx="46">
                  <c:v>56.159433195303798</c:v>
                </c:pt>
                <c:pt idx="47">
                  <c:v>57.354314752650701</c:v>
                </c:pt>
                <c:pt idx="48">
                  <c:v>58.549196309997598</c:v>
                </c:pt>
                <c:pt idx="49">
                  <c:v>59.744077867344501</c:v>
                </c:pt>
                <c:pt idx="50">
                  <c:v>60.938959424691397</c:v>
                </c:pt>
                <c:pt idx="51">
                  <c:v>62.133840982038301</c:v>
                </c:pt>
                <c:pt idx="52">
                  <c:v>63.328722539385097</c:v>
                </c:pt>
                <c:pt idx="53">
                  <c:v>64.523604096732001</c:v>
                </c:pt>
                <c:pt idx="54">
                  <c:v>65.718485654078904</c:v>
                </c:pt>
                <c:pt idx="55">
                  <c:v>66.913367211425793</c:v>
                </c:pt>
                <c:pt idx="56">
                  <c:v>68.108248768772697</c:v>
                </c:pt>
                <c:pt idx="57">
                  <c:v>69.3031303261196</c:v>
                </c:pt>
                <c:pt idx="58">
                  <c:v>70.498011883466503</c:v>
                </c:pt>
                <c:pt idx="59">
                  <c:v>71.692893440813407</c:v>
                </c:pt>
                <c:pt idx="60">
                  <c:v>72.887774998160296</c:v>
                </c:pt>
                <c:pt idx="61">
                  <c:v>74.0826565555071</c:v>
                </c:pt>
                <c:pt idx="62">
                  <c:v>75.277538112854003</c:v>
                </c:pt>
                <c:pt idx="63">
                  <c:v>76.472419670200907</c:v>
                </c:pt>
                <c:pt idx="64">
                  <c:v>77.667301227547796</c:v>
                </c:pt>
                <c:pt idx="65">
                  <c:v>78.862182784894699</c:v>
                </c:pt>
                <c:pt idx="66">
                  <c:v>80.057064342241603</c:v>
                </c:pt>
                <c:pt idx="67">
                  <c:v>81.251945899588506</c:v>
                </c:pt>
                <c:pt idx="68">
                  <c:v>82.446827456935395</c:v>
                </c:pt>
                <c:pt idx="69">
                  <c:v>83.641709014282299</c:v>
                </c:pt>
                <c:pt idx="70">
                  <c:v>84.836590571629102</c:v>
                </c:pt>
                <c:pt idx="71">
                  <c:v>86.031472128976006</c:v>
                </c:pt>
                <c:pt idx="72">
                  <c:v>87.226353686322895</c:v>
                </c:pt>
                <c:pt idx="73">
                  <c:v>88.421235243669798</c:v>
                </c:pt>
                <c:pt idx="74">
                  <c:v>89.616116801016702</c:v>
                </c:pt>
                <c:pt idx="75">
                  <c:v>90.810998358363605</c:v>
                </c:pt>
                <c:pt idx="76">
                  <c:v>92.005879915710494</c:v>
                </c:pt>
                <c:pt idx="77">
                  <c:v>93.200761473057398</c:v>
                </c:pt>
                <c:pt idx="78">
                  <c:v>94.395643030404301</c:v>
                </c:pt>
                <c:pt idx="79">
                  <c:v>95.590524587751204</c:v>
                </c:pt>
                <c:pt idx="80">
                  <c:v>96.785406145097994</c:v>
                </c:pt>
                <c:pt idx="81">
                  <c:v>97.980287702444897</c:v>
                </c:pt>
                <c:pt idx="82">
                  <c:v>99.175169259791801</c:v>
                </c:pt>
                <c:pt idx="83">
                  <c:v>100.370050817139</c:v>
                </c:pt>
                <c:pt idx="84">
                  <c:v>101.56493237448601</c:v>
                </c:pt>
                <c:pt idx="85">
                  <c:v>102.759813931832</c:v>
                </c:pt>
                <c:pt idx="86">
                  <c:v>103.954695489179</c:v>
                </c:pt>
                <c:pt idx="87">
                  <c:v>105.14957704652601</c:v>
                </c:pt>
                <c:pt idx="88">
                  <c:v>106.34445860387299</c:v>
                </c:pt>
                <c:pt idx="89">
                  <c:v>107.53934016122</c:v>
                </c:pt>
                <c:pt idx="90">
                  <c:v>108.734221718567</c:v>
                </c:pt>
                <c:pt idx="91">
                  <c:v>109.929103275914</c:v>
                </c:pt>
                <c:pt idx="92">
                  <c:v>111.12398483326101</c:v>
                </c:pt>
                <c:pt idx="93">
                  <c:v>112.31886639060799</c:v>
                </c:pt>
                <c:pt idx="94">
                  <c:v>113.513747947954</c:v>
                </c:pt>
                <c:pt idx="95">
                  <c:v>114.708629505301</c:v>
                </c:pt>
                <c:pt idx="96">
                  <c:v>115.90351106264799</c:v>
                </c:pt>
                <c:pt idx="97">
                  <c:v>117.098392619995</c:v>
                </c:pt>
                <c:pt idx="98">
                  <c:v>118.293274177342</c:v>
                </c:pt>
                <c:pt idx="99">
                  <c:v>119.488155734689</c:v>
                </c:pt>
                <c:pt idx="100">
                  <c:v>120.683037292036</c:v>
                </c:pt>
                <c:pt idx="101">
                  <c:v>121.87791884938299</c:v>
                </c:pt>
                <c:pt idx="102">
                  <c:v>123.07280040673</c:v>
                </c:pt>
                <c:pt idx="103">
                  <c:v>124.267681964077</c:v>
                </c:pt>
                <c:pt idx="104">
                  <c:v>125.46256352142299</c:v>
                </c:pt>
                <c:pt idx="105">
                  <c:v>126.65744507877</c:v>
                </c:pt>
                <c:pt idx="106">
                  <c:v>127.852326636117</c:v>
                </c:pt>
                <c:pt idx="107">
                  <c:v>129.047208193464</c:v>
                </c:pt>
                <c:pt idx="108">
                  <c:v>130.242089750811</c:v>
                </c:pt>
                <c:pt idx="109">
                  <c:v>131.43697130815801</c:v>
                </c:pt>
                <c:pt idx="110">
                  <c:v>132.63185286550501</c:v>
                </c:pt>
                <c:pt idx="111">
                  <c:v>133.82673442285201</c:v>
                </c:pt>
                <c:pt idx="112">
                  <c:v>135.02161598019899</c:v>
                </c:pt>
                <c:pt idx="113">
                  <c:v>136.216497537545</c:v>
                </c:pt>
                <c:pt idx="114">
                  <c:v>137.411379094892</c:v>
                </c:pt>
                <c:pt idx="115">
                  <c:v>138.606260652239</c:v>
                </c:pt>
                <c:pt idx="116">
                  <c:v>139.801142209586</c:v>
                </c:pt>
                <c:pt idx="117">
                  <c:v>140.99602376693301</c:v>
                </c:pt>
                <c:pt idx="118">
                  <c:v>142.19090532428001</c:v>
                </c:pt>
                <c:pt idx="119">
                  <c:v>143.38578688162701</c:v>
                </c:pt>
                <c:pt idx="120">
                  <c:v>144.58066843897399</c:v>
                </c:pt>
                <c:pt idx="121">
                  <c:v>145.77554999632099</c:v>
                </c:pt>
                <c:pt idx="122">
                  <c:v>146.970431553667</c:v>
                </c:pt>
                <c:pt idx="123">
                  <c:v>148.165313111014</c:v>
                </c:pt>
                <c:pt idx="124">
                  <c:v>149.360194668361</c:v>
                </c:pt>
                <c:pt idx="125">
                  <c:v>150.55507622570801</c:v>
                </c:pt>
                <c:pt idx="126">
                  <c:v>151.74995778305501</c:v>
                </c:pt>
                <c:pt idx="127">
                  <c:v>152.94483934040201</c:v>
                </c:pt>
                <c:pt idx="128">
                  <c:v>154.13972089774899</c:v>
                </c:pt>
                <c:pt idx="129">
                  <c:v>155.33460245509599</c:v>
                </c:pt>
                <c:pt idx="130">
                  <c:v>156.52948401244299</c:v>
                </c:pt>
                <c:pt idx="131">
                  <c:v>157.724365569789</c:v>
                </c:pt>
                <c:pt idx="132">
                  <c:v>158.919247127136</c:v>
                </c:pt>
                <c:pt idx="133">
                  <c:v>160.11412868448301</c:v>
                </c:pt>
                <c:pt idx="134">
                  <c:v>161.30901024183001</c:v>
                </c:pt>
                <c:pt idx="135">
                  <c:v>162.50389179917701</c:v>
                </c:pt>
                <c:pt idx="136">
                  <c:v>163.69877335652399</c:v>
                </c:pt>
                <c:pt idx="137">
                  <c:v>164.89365491387099</c:v>
                </c:pt>
                <c:pt idx="138">
                  <c:v>166.08853647121799</c:v>
                </c:pt>
                <c:pt idx="139">
                  <c:v>167.28341802856499</c:v>
                </c:pt>
                <c:pt idx="140">
                  <c:v>168.478299585911</c:v>
                </c:pt>
                <c:pt idx="141">
                  <c:v>169.67318114325801</c:v>
                </c:pt>
                <c:pt idx="142">
                  <c:v>170.86806270060501</c:v>
                </c:pt>
                <c:pt idx="143">
                  <c:v>172.06294425795201</c:v>
                </c:pt>
                <c:pt idx="144">
                  <c:v>173.25782581529899</c:v>
                </c:pt>
                <c:pt idx="145">
                  <c:v>174.45270737264599</c:v>
                </c:pt>
                <c:pt idx="146">
                  <c:v>175.64758892999299</c:v>
                </c:pt>
                <c:pt idx="147">
                  <c:v>176.84247048733999</c:v>
                </c:pt>
                <c:pt idx="148">
                  <c:v>178.037352044687</c:v>
                </c:pt>
                <c:pt idx="149">
                  <c:v>179.23223360203301</c:v>
                </c:pt>
                <c:pt idx="150">
                  <c:v>180.42711515938001</c:v>
                </c:pt>
                <c:pt idx="151">
                  <c:v>181.62199671672701</c:v>
                </c:pt>
                <c:pt idx="152">
                  <c:v>182.81687827407401</c:v>
                </c:pt>
                <c:pt idx="153">
                  <c:v>184.01175983142099</c:v>
                </c:pt>
                <c:pt idx="154">
                  <c:v>185.20664138876799</c:v>
                </c:pt>
                <c:pt idx="155">
                  <c:v>186.40152294611499</c:v>
                </c:pt>
                <c:pt idx="156">
                  <c:v>187.596404503462</c:v>
                </c:pt>
                <c:pt idx="157">
                  <c:v>188.791286060809</c:v>
                </c:pt>
                <c:pt idx="158">
                  <c:v>189.98616761815501</c:v>
                </c:pt>
                <c:pt idx="159">
                  <c:v>191.18104917550201</c:v>
                </c:pt>
                <c:pt idx="160">
                  <c:v>192.37593073284901</c:v>
                </c:pt>
                <c:pt idx="161">
                  <c:v>193.57081229019599</c:v>
                </c:pt>
                <c:pt idx="162">
                  <c:v>194.76569384754299</c:v>
                </c:pt>
                <c:pt idx="163">
                  <c:v>195.96057540488999</c:v>
                </c:pt>
                <c:pt idx="164">
                  <c:v>197.155456962237</c:v>
                </c:pt>
                <c:pt idx="165">
                  <c:v>198.350338519584</c:v>
                </c:pt>
                <c:pt idx="166">
                  <c:v>199.545220076931</c:v>
                </c:pt>
                <c:pt idx="167">
                  <c:v>200.74010163427701</c:v>
                </c:pt>
                <c:pt idx="168">
                  <c:v>201.93498319162401</c:v>
                </c:pt>
                <c:pt idx="169">
                  <c:v>203.12986474897099</c:v>
                </c:pt>
                <c:pt idx="170">
                  <c:v>204.32474630631799</c:v>
                </c:pt>
                <c:pt idx="171">
                  <c:v>205.51962786366499</c:v>
                </c:pt>
                <c:pt idx="172">
                  <c:v>206.714509421012</c:v>
                </c:pt>
                <c:pt idx="173">
                  <c:v>207.909390978359</c:v>
                </c:pt>
                <c:pt idx="174">
                  <c:v>209.104272535706</c:v>
                </c:pt>
                <c:pt idx="175">
                  <c:v>210.299154093053</c:v>
                </c:pt>
                <c:pt idx="176">
                  <c:v>211.49403565039901</c:v>
                </c:pt>
                <c:pt idx="177">
                  <c:v>212.68891720774599</c:v>
                </c:pt>
                <c:pt idx="178">
                  <c:v>213.88379876509299</c:v>
                </c:pt>
                <c:pt idx="179">
                  <c:v>215.07868032243999</c:v>
                </c:pt>
                <c:pt idx="180">
                  <c:v>216.273561879787</c:v>
                </c:pt>
                <c:pt idx="181">
                  <c:v>217.468443437134</c:v>
                </c:pt>
                <c:pt idx="182">
                  <c:v>218.663324994481</c:v>
                </c:pt>
                <c:pt idx="183">
                  <c:v>219.858206551828</c:v>
                </c:pt>
                <c:pt idx="184">
                  <c:v>221.05308810917501</c:v>
                </c:pt>
                <c:pt idx="185">
                  <c:v>222.24796966652099</c:v>
                </c:pt>
                <c:pt idx="186">
                  <c:v>223.44285122386799</c:v>
                </c:pt>
                <c:pt idx="187">
                  <c:v>224.63773278121499</c:v>
                </c:pt>
                <c:pt idx="188">
                  <c:v>225.832614338562</c:v>
                </c:pt>
                <c:pt idx="189">
                  <c:v>227.027495895909</c:v>
                </c:pt>
                <c:pt idx="190">
                  <c:v>228.222377453256</c:v>
                </c:pt>
                <c:pt idx="191">
                  <c:v>229.417259010603</c:v>
                </c:pt>
                <c:pt idx="192">
                  <c:v>230.61214056795001</c:v>
                </c:pt>
                <c:pt idx="193">
                  <c:v>231.80702212529701</c:v>
                </c:pt>
                <c:pt idx="194">
                  <c:v>233.00190368264299</c:v>
                </c:pt>
                <c:pt idx="195">
                  <c:v>234.19678523998999</c:v>
                </c:pt>
                <c:pt idx="196">
                  <c:v>235.391666797337</c:v>
                </c:pt>
                <c:pt idx="197">
                  <c:v>236.586548354684</c:v>
                </c:pt>
                <c:pt idx="198">
                  <c:v>237.781429912031</c:v>
                </c:pt>
              </c:numCache>
            </c:numRef>
          </c:xVal>
          <c:yVal>
            <c:numRef>
              <c:f>Health!$N$17:$N$215</c:f>
              <c:numCache>
                <c:formatCode>General</c:formatCode>
                <c:ptCount val="199"/>
                <c:pt idx="0">
                  <c:v>2.174777788319299E-5</c:v>
                </c:pt>
                <c:pt idx="1">
                  <c:v>4.3235403098061076E-5</c:v>
                </c:pt>
                <c:pt idx="2">
                  <c:v>6.4494035409540354E-5</c:v>
                </c:pt>
                <c:pt idx="3">
                  <c:v>8.5554834582566523E-5</c:v>
                </c:pt>
                <c:pt idx="4">
                  <c:v>1.0644896038207567E-4</c:v>
                </c:pt>
                <c:pt idx="5">
                  <c:v>1.2720757257300374E-4</c:v>
                </c:pt>
                <c:pt idx="6">
                  <c:v>1.4786183092028649E-4</c:v>
                </c:pt>
                <c:pt idx="7">
                  <c:v>1.6844289518885995E-4</c:v>
                </c:pt>
                <c:pt idx="8">
                  <c:v>1.8898192514366004E-4</c:v>
                </c:pt>
                <c:pt idx="9">
                  <c:v>2.0951008054962284E-4</c:v>
                </c:pt>
                <c:pt idx="10">
                  <c:v>2.3005852117168396E-4</c:v>
                </c:pt>
                <c:pt idx="11">
                  <c:v>2.5065840677477934E-4</c:v>
                </c:pt>
                <c:pt idx="12">
                  <c:v>2.7134089712384533E-4</c:v>
                </c:pt>
                <c:pt idx="13">
                  <c:v>2.9213715198381793E-4</c:v>
                </c:pt>
                <c:pt idx="14">
                  <c:v>3.1307833111963247E-4</c:v>
                </c:pt>
                <c:pt idx="15">
                  <c:v>3.3419559429622423E-4</c:v>
                </c:pt>
                <c:pt idx="16">
                  <c:v>3.5552010127853125E-4</c:v>
                </c:pt>
                <c:pt idx="17">
                  <c:v>3.770830118314867E-4</c:v>
                </c:pt>
                <c:pt idx="18">
                  <c:v>3.9891548572002899E-4</c:v>
                </c:pt>
                <c:pt idx="19">
                  <c:v>4.2104868270909367E-4</c:v>
                </c:pt>
                <c:pt idx="20">
                  <c:v>4.4351376256361564E-4</c:v>
                </c:pt>
                <c:pt idx="21">
                  <c:v>4.6634188504853137E-4</c:v>
                </c:pt>
                <c:pt idx="22">
                  <c:v>4.8956420992877559E-4</c:v>
                </c:pt>
                <c:pt idx="23">
                  <c:v>5.1321189696928624E-4</c:v>
                </c:pt>
                <c:pt idx="24">
                  <c:v>5.373161059349993E-4</c:v>
                </c:pt>
                <c:pt idx="25">
                  <c:v>5.6190799659084777E-4</c:v>
                </c:pt>
                <c:pt idx="26">
                  <c:v>5.8701872870177104E-4</c:v>
                </c:pt>
                <c:pt idx="27">
                  <c:v>6.1267946203270342E-4</c:v>
                </c:pt>
                <c:pt idx="28">
                  <c:v>6.4209056026016508E-4</c:v>
                </c:pt>
                <c:pt idx="29">
                  <c:v>6.7324331745359186E-4</c:v>
                </c:pt>
                <c:pt idx="30">
                  <c:v>7.0513215674735058E-4</c:v>
                </c:pt>
                <c:pt idx="31">
                  <c:v>7.3794508385239752E-4</c:v>
                </c:pt>
                <c:pt idx="32">
                  <c:v>7.7159549451321393E-4</c:v>
                </c:pt>
                <c:pt idx="33">
                  <c:v>8.0600355804799617E-4</c:v>
                </c:pt>
                <c:pt idx="34">
                  <c:v>8.4109849148367351E-4</c:v>
                </c:pt>
                <c:pt idx="35">
                  <c:v>8.7680979243708393E-4</c:v>
                </c:pt>
                <c:pt idx="36">
                  <c:v>9.1305460444414096E-4</c:v>
                </c:pt>
                <c:pt idx="37">
                  <c:v>9.4975992792125578E-4</c:v>
                </c:pt>
                <c:pt idx="38">
                  <c:v>9.8686235522732284E-4</c:v>
                </c:pt>
                <c:pt idx="39">
                  <c:v>1.0242998166820549E-3</c:v>
                </c:pt>
                <c:pt idx="40">
                  <c:v>1.0620014305302657E-3</c:v>
                </c:pt>
                <c:pt idx="41">
                  <c:v>1.099907397411013E-3</c:v>
                </c:pt>
                <c:pt idx="42">
                  <c:v>1.1379663501487427E-3</c:v>
                </c:pt>
                <c:pt idx="43">
                  <c:v>1.1761286919539189E-3</c:v>
                </c:pt>
                <c:pt idx="44">
                  <c:v>1.2143398218707076E-3</c:v>
                </c:pt>
                <c:pt idx="45">
                  <c:v>1.2525547284892341E-3</c:v>
                </c:pt>
                <c:pt idx="46">
                  <c:v>1.2907356263386727E-3</c:v>
                </c:pt>
                <c:pt idx="47">
                  <c:v>1.3288466567243297E-3</c:v>
                </c:pt>
                <c:pt idx="48">
                  <c:v>1.3668483734969115E-3</c:v>
                </c:pt>
                <c:pt idx="49">
                  <c:v>1.4047102788769766E-3</c:v>
                </c:pt>
                <c:pt idx="50">
                  <c:v>1.4424067113962226E-3</c:v>
                </c:pt>
                <c:pt idx="51">
                  <c:v>1.4799135443590704E-3</c:v>
                </c:pt>
                <c:pt idx="52">
                  <c:v>1.5172059086538919E-3</c:v>
                </c:pt>
                <c:pt idx="53">
                  <c:v>1.5542633800237023E-3</c:v>
                </c:pt>
                <c:pt idx="54">
                  <c:v>1.5910691743257674E-3</c:v>
                </c:pt>
                <c:pt idx="55">
                  <c:v>1.6276077514659367E-3</c:v>
                </c:pt>
                <c:pt idx="56">
                  <c:v>1.663863139367075E-3</c:v>
                </c:pt>
                <c:pt idx="57">
                  <c:v>1.6998235036249081E-3</c:v>
                </c:pt>
                <c:pt idx="58">
                  <c:v>1.7354791101059355E-3</c:v>
                </c:pt>
                <c:pt idx="59">
                  <c:v>1.7708210106221975E-3</c:v>
                </c:pt>
                <c:pt idx="60">
                  <c:v>1.8058394188429946E-3</c:v>
                </c:pt>
                <c:pt idx="61">
                  <c:v>1.8405274456545649E-3</c:v>
                </c:pt>
                <c:pt idx="62">
                  <c:v>1.8748793835295242E-3</c:v>
                </c:pt>
                <c:pt idx="63">
                  <c:v>1.9088900228498593E-3</c:v>
                </c:pt>
                <c:pt idx="64">
                  <c:v>1.9425544158062638E-3</c:v>
                </c:pt>
                <c:pt idx="65">
                  <c:v>1.9758690099810914E-3</c:v>
                </c:pt>
                <c:pt idx="66">
                  <c:v>2.0088307481231035E-3</c:v>
                </c:pt>
                <c:pt idx="67">
                  <c:v>2.0414367681067039E-3</c:v>
                </c:pt>
                <c:pt idx="68">
                  <c:v>2.0736845965972396E-3</c:v>
                </c:pt>
                <c:pt idx="69">
                  <c:v>2.1055727769337309E-3</c:v>
                </c:pt>
                <c:pt idx="70">
                  <c:v>2.1371000228166564E-3</c:v>
                </c:pt>
                <c:pt idx="71">
                  <c:v>2.1682651433970316E-3</c:v>
                </c:pt>
                <c:pt idx="72">
                  <c:v>2.1990678596527278E-3</c:v>
                </c:pt>
                <c:pt idx="73">
                  <c:v>2.2295076161562145E-3</c:v>
                </c:pt>
                <c:pt idx="74">
                  <c:v>2.2595842999424518E-3</c:v>
                </c:pt>
                <c:pt idx="75">
                  <c:v>2.2892981023242042E-3</c:v>
                </c:pt>
                <c:pt idx="76">
                  <c:v>2.3186496459602331E-3</c:v>
                </c:pt>
                <c:pt idx="77">
                  <c:v>2.3476398297825043E-3</c:v>
                </c:pt>
                <c:pt idx="78">
                  <c:v>2.3762696963771594E-3</c:v>
                </c:pt>
                <c:pt idx="79">
                  <c:v>2.4045404966409165E-3</c:v>
                </c:pt>
                <c:pt idx="80">
                  <c:v>2.4324541687211505E-3</c:v>
                </c:pt>
                <c:pt idx="81">
                  <c:v>2.4600126734944886E-3</c:v>
                </c:pt>
                <c:pt idx="82">
                  <c:v>2.487218095660818E-3</c:v>
                </c:pt>
                <c:pt idx="83">
                  <c:v>2.5140727920548731E-3</c:v>
                </c:pt>
                <c:pt idx="84">
                  <c:v>2.5405800748914587E-3</c:v>
                </c:pt>
                <c:pt idx="85">
                  <c:v>2.5667431232351506E-3</c:v>
                </c:pt>
                <c:pt idx="86">
                  <c:v>2.5925652013516574E-3</c:v>
                </c:pt>
                <c:pt idx="87">
                  <c:v>2.618049912484433E-3</c:v>
                </c:pt>
                <c:pt idx="88">
                  <c:v>2.643202052074441E-3</c:v>
                </c:pt>
                <c:pt idx="89">
                  <c:v>2.6680261165464604E-3</c:v>
                </c:pt>
                <c:pt idx="90">
                  <c:v>2.6925266135820075E-3</c:v>
                </c:pt>
                <c:pt idx="91">
                  <c:v>2.716708432318778E-3</c:v>
                </c:pt>
                <c:pt idx="92">
                  <c:v>2.7405779412241361E-3</c:v>
                </c:pt>
                <c:pt idx="93">
                  <c:v>2.7641409121608148E-3</c:v>
                </c:pt>
                <c:pt idx="94">
                  <c:v>2.787403059817296E-3</c:v>
                </c:pt>
                <c:pt idx="95">
                  <c:v>2.8103705204722451E-3</c:v>
                </c:pt>
                <c:pt idx="96">
                  <c:v>2.833051069581346E-3</c:v>
                </c:pt>
                <c:pt idx="97">
                  <c:v>2.8554515736282284E-3</c:v>
                </c:pt>
                <c:pt idx="98">
                  <c:v>2.8775787587825069E-3</c:v>
                </c:pt>
                <c:pt idx="99">
                  <c:v>2.8994397819108878E-3</c:v>
                </c:pt>
                <c:pt idx="100">
                  <c:v>2.9210434883558383E-3</c:v>
                </c:pt>
                <c:pt idx="101">
                  <c:v>2.9423974906752446E-3</c:v>
                </c:pt>
                <c:pt idx="102">
                  <c:v>2.9635091818103988E-3</c:v>
                </c:pt>
                <c:pt idx="103">
                  <c:v>2.9843863660359619E-3</c:v>
                </c:pt>
                <c:pt idx="104">
                  <c:v>3.005038474335457E-3</c:v>
                </c:pt>
                <c:pt idx="105">
                  <c:v>3.0254734252136263E-3</c:v>
                </c:pt>
                <c:pt idx="106">
                  <c:v>3.0456988486640222E-3</c:v>
                </c:pt>
                <c:pt idx="107">
                  <c:v>3.0657227377704024E-3</c:v>
                </c:pt>
                <c:pt idx="108">
                  <c:v>3.0855545307376087E-3</c:v>
                </c:pt>
                <c:pt idx="109">
                  <c:v>3.1052019761596598E-3</c:v>
                </c:pt>
                <c:pt idx="110">
                  <c:v>3.1246724849003931E-3</c:v>
                </c:pt>
                <c:pt idx="111">
                  <c:v>3.1439737612695353E-3</c:v>
                </c:pt>
                <c:pt idx="112">
                  <c:v>3.1631146776001534E-3</c:v>
                </c:pt>
                <c:pt idx="113">
                  <c:v>3.1821023645129802E-3</c:v>
                </c:pt>
                <c:pt idx="114">
                  <c:v>3.2009435857366327E-3</c:v>
                </c:pt>
                <c:pt idx="115">
                  <c:v>3.2196453085049557E-3</c:v>
                </c:pt>
                <c:pt idx="116">
                  <c:v>3.2382153581243431E-3</c:v>
                </c:pt>
                <c:pt idx="117">
                  <c:v>3.2566598782281186E-3</c:v>
                </c:pt>
                <c:pt idx="118">
                  <c:v>3.2749846525076004E-3</c:v>
                </c:pt>
                <c:pt idx="119">
                  <c:v>3.2931955864615005E-3</c:v>
                </c:pt>
                <c:pt idx="120">
                  <c:v>3.3112991271180506E-3</c:v>
                </c:pt>
                <c:pt idx="121">
                  <c:v>3.3293002329150036E-3</c:v>
                </c:pt>
                <c:pt idx="122">
                  <c:v>3.3472035360989291E-3</c:v>
                </c:pt>
                <c:pt idx="123">
                  <c:v>3.3650137205358012E-3</c:v>
                </c:pt>
                <c:pt idx="124">
                  <c:v>3.3827357710956452E-3</c:v>
                </c:pt>
                <c:pt idx="125">
                  <c:v>3.4003734560544441E-3</c:v>
                </c:pt>
                <c:pt idx="126">
                  <c:v>3.4179302776550886E-3</c:v>
                </c:pt>
                <c:pt idx="127">
                  <c:v>3.4354097514871611E-3</c:v>
                </c:pt>
                <c:pt idx="128">
                  <c:v>3.4528155543632959E-3</c:v>
                </c:pt>
                <c:pt idx="129">
                  <c:v>3.4701504456647698E-3</c:v>
                </c:pt>
                <c:pt idx="130">
                  <c:v>3.4874169928732295E-3</c:v>
                </c:pt>
                <c:pt idx="131">
                  <c:v>3.5046177753864233E-3</c:v>
                </c:pt>
                <c:pt idx="132">
                  <c:v>3.5217554853501191E-3</c:v>
                </c:pt>
                <c:pt idx="133">
                  <c:v>3.5388321621486057E-3</c:v>
                </c:pt>
                <c:pt idx="134">
                  <c:v>3.5558497231959864E-3</c:v>
                </c:pt>
                <c:pt idx="135">
                  <c:v>3.5728101214296025E-3</c:v>
                </c:pt>
                <c:pt idx="136">
                  <c:v>3.5897154294070037E-3</c:v>
                </c:pt>
                <c:pt idx="137">
                  <c:v>3.6065672586274083E-3</c:v>
                </c:pt>
                <c:pt idx="138">
                  <c:v>3.6233671504199956E-3</c:v>
                </c:pt>
                <c:pt idx="139">
                  <c:v>3.6401167059220375E-3</c:v>
                </c:pt>
                <c:pt idx="140">
                  <c:v>3.6568177564401082E-3</c:v>
                </c:pt>
                <c:pt idx="141">
                  <c:v>3.6734716823044002E-3</c:v>
                </c:pt>
                <c:pt idx="142">
                  <c:v>3.6900798290950988E-3</c:v>
                </c:pt>
                <c:pt idx="143">
                  <c:v>3.7066436450029334E-3</c:v>
                </c:pt>
                <c:pt idx="144">
                  <c:v>3.7231647561068518E-3</c:v>
                </c:pt>
                <c:pt idx="145">
                  <c:v>3.739644460014901E-3</c:v>
                </c:pt>
                <c:pt idx="146">
                  <c:v>3.7560840574089238E-3</c:v>
                </c:pt>
                <c:pt idx="147">
                  <c:v>3.7724850265135382E-3</c:v>
                </c:pt>
                <c:pt idx="148">
                  <c:v>3.7888487851135372E-3</c:v>
                </c:pt>
                <c:pt idx="149">
                  <c:v>3.8051765871853081E-3</c:v>
                </c:pt>
                <c:pt idx="150">
                  <c:v>3.8214696746093832E-3</c:v>
                </c:pt>
                <c:pt idx="151">
                  <c:v>3.8377293973464628E-3</c:v>
                </c:pt>
                <c:pt idx="152">
                  <c:v>3.8539573112280593E-3</c:v>
                </c:pt>
                <c:pt idx="153">
                  <c:v>3.8701545289604265E-3</c:v>
                </c:pt>
                <c:pt idx="154">
                  <c:v>3.8863221535854484E-3</c:v>
                </c:pt>
                <c:pt idx="155">
                  <c:v>3.9024614373859424E-3</c:v>
                </c:pt>
                <c:pt idx="156">
                  <c:v>3.9185737111476285E-3</c:v>
                </c:pt>
                <c:pt idx="157">
                  <c:v>3.9346600654041721E-3</c:v>
                </c:pt>
                <c:pt idx="158">
                  <c:v>3.9507215333573799E-3</c:v>
                </c:pt>
                <c:pt idx="159">
                  <c:v>3.9667591525881854E-3</c:v>
                </c:pt>
                <c:pt idx="160">
                  <c:v>3.9827740582269993E-3</c:v>
                </c:pt>
                <c:pt idx="161">
                  <c:v>3.9987671306501342E-3</c:v>
                </c:pt>
                <c:pt idx="162">
                  <c:v>4.0147392162251053E-3</c:v>
                </c:pt>
                <c:pt idx="163">
                  <c:v>4.0306911948712028E-3</c:v>
                </c:pt>
                <c:pt idx="164">
                  <c:v>4.0466241743376506E-3</c:v>
                </c:pt>
                <c:pt idx="165">
                  <c:v>4.0625388013308689E-3</c:v>
                </c:pt>
                <c:pt idx="166">
                  <c:v>4.0784356594109816E-3</c:v>
                </c:pt>
                <c:pt idx="167">
                  <c:v>4.0943153262021879E-3</c:v>
                </c:pt>
                <c:pt idx="168">
                  <c:v>4.1101785649861481E-3</c:v>
                </c:pt>
                <c:pt idx="169">
                  <c:v>4.1260257304929562E-3</c:v>
                </c:pt>
                <c:pt idx="170">
                  <c:v>4.1418571704787029E-3</c:v>
                </c:pt>
                <c:pt idx="171">
                  <c:v>4.1576733562346127E-3</c:v>
                </c:pt>
                <c:pt idx="172">
                  <c:v>4.1734749012101542E-3</c:v>
                </c:pt>
                <c:pt idx="173">
                  <c:v>4.1892621074026016E-3</c:v>
                </c:pt>
                <c:pt idx="174">
                  <c:v>4.2050351770760736E-3</c:v>
                </c:pt>
                <c:pt idx="175">
                  <c:v>4.2207941265894767E-3</c:v>
                </c:pt>
                <c:pt idx="176">
                  <c:v>4.2365391957586368E-3</c:v>
                </c:pt>
                <c:pt idx="177">
                  <c:v>4.2522705236914026E-3</c:v>
                </c:pt>
                <c:pt idx="178">
                  <c:v>4.2679882298605528E-3</c:v>
                </c:pt>
                <c:pt idx="179">
                  <c:v>4.2836924056671522E-3</c:v>
                </c:pt>
                <c:pt idx="180">
                  <c:v>4.2993832307452098E-3</c:v>
                </c:pt>
                <c:pt idx="181">
                  <c:v>4.3150608230593732E-3</c:v>
                </c:pt>
                <c:pt idx="182">
                  <c:v>4.3307252421293648E-3</c:v>
                </c:pt>
                <c:pt idx="183">
                  <c:v>4.3463763716084097E-3</c:v>
                </c:pt>
                <c:pt idx="184">
                  <c:v>4.3620141952762136E-3</c:v>
                </c:pt>
                <c:pt idx="185">
                  <c:v>4.3776387963624522E-3</c:v>
                </c:pt>
                <c:pt idx="186">
                  <c:v>4.3932502034094252E-3</c:v>
                </c:pt>
                <c:pt idx="187">
                  <c:v>4.408848160416692E-3</c:v>
                </c:pt>
                <c:pt idx="188">
                  <c:v>4.4244326517547195E-3</c:v>
                </c:pt>
                <c:pt idx="189">
                  <c:v>4.4400036673400058E-3</c:v>
                </c:pt>
                <c:pt idx="190">
                  <c:v>4.4555611907680891E-3</c:v>
                </c:pt>
                <c:pt idx="191">
                  <c:v>4.4711051747422714E-3</c:v>
                </c:pt>
                <c:pt idx="192">
                  <c:v>4.4866354218658878E-3</c:v>
                </c:pt>
                <c:pt idx="193">
                  <c:v>4.5021519160029066E-3</c:v>
                </c:pt>
                <c:pt idx="194">
                  <c:v>4.517654695711251E-3</c:v>
                </c:pt>
                <c:pt idx="195">
                  <c:v>4.5331439347170693E-3</c:v>
                </c:pt>
                <c:pt idx="196">
                  <c:v>4.5486194162444689E-3</c:v>
                </c:pt>
                <c:pt idx="197">
                  <c:v>4.564080573443618E-3</c:v>
                </c:pt>
                <c:pt idx="198">
                  <c:v>4.5795291803121235E-3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58-4144-AD29-59D39678A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923775"/>
        <c:axId val="621683599"/>
      </c:scatterChart>
      <c:valAx>
        <c:axId val="603923775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ptos Light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Red meat intake [g/d]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Light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621683599"/>
        <c:crosses val="autoZero"/>
        <c:crossBetween val="midCat"/>
      </c:valAx>
      <c:valAx>
        <c:axId val="621683599"/>
        <c:scaling>
          <c:orientation val="minMax"/>
          <c:max val="4.0000000000000001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ptos Light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DALYs/capita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Light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60392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.10617579908675798"/>
          <c:y val="0.86592090793120136"/>
          <c:w val="0.84910197869101989"/>
          <c:h val="0.120112611621871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ptos Light" panose="020B00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>
          <a:solidFill>
            <a:schemeClr val="tx1"/>
          </a:solidFill>
          <a:latin typeface="Aptos Light" panose="020B00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'Animal welfare'!I38</c:f>
              <c:strCache>
                <c:ptCount val="1"/>
                <c:pt idx="0">
                  <c:v>Welfare impairments in Nutrition</c:v>
                </c:pt>
              </c:strCache>
            </c:strRef>
          </c:tx>
          <c:spPr>
            <a:solidFill>
              <a:srgbClr val="7E350E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welfare'!J38:N38</c:f>
              <c:numCache>
                <c:formatCode>General</c:formatCode>
                <c:ptCount val="5"/>
                <c:pt idx="0">
                  <c:v>-0.23990000000000003</c:v>
                </c:pt>
                <c:pt idx="1">
                  <c:v>-0.14066666666666663</c:v>
                </c:pt>
                <c:pt idx="2">
                  <c:v>-0.10249999999999999</c:v>
                </c:pt>
                <c:pt idx="3">
                  <c:v>-0.1234086956521739</c:v>
                </c:pt>
                <c:pt idx="4">
                  <c:v>-0.10249999999999999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0-4A38-A910-14EB1ABB42E0}"/>
            </c:ext>
          </c:extLst>
        </c:ser>
        <c:ser>
          <c:idx val="4"/>
          <c:order val="1"/>
          <c:tx>
            <c:strRef>
              <c:f>'Animal welfare'!I39</c:f>
              <c:strCache>
                <c:ptCount val="1"/>
                <c:pt idx="0">
                  <c:v>Welfare impairments in Environment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welfare'!J39:N39</c:f>
              <c:numCache>
                <c:formatCode>General</c:formatCode>
                <c:ptCount val="5"/>
                <c:pt idx="0">
                  <c:v>-0.54070000000000007</c:v>
                </c:pt>
                <c:pt idx="1">
                  <c:v>-0.26769999999999999</c:v>
                </c:pt>
                <c:pt idx="2">
                  <c:v>-0.16270000000000001</c:v>
                </c:pt>
                <c:pt idx="3">
                  <c:v>-0.22022173913043477</c:v>
                </c:pt>
                <c:pt idx="4">
                  <c:v>-0.16270000000000001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0-4A38-A910-14EB1ABB42E0}"/>
            </c:ext>
          </c:extLst>
        </c:ser>
        <c:ser>
          <c:idx val="5"/>
          <c:order val="2"/>
          <c:tx>
            <c:strRef>
              <c:f>'Animal welfare'!I40</c:f>
              <c:strCache>
                <c:ptCount val="1"/>
                <c:pt idx="0">
                  <c:v>Welfare impairments in Health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welfare'!J40:N40</c:f>
              <c:numCache>
                <c:formatCode>General</c:formatCode>
                <c:ptCount val="5"/>
                <c:pt idx="0">
                  <c:v>-0.29760000000000003</c:v>
                </c:pt>
                <c:pt idx="1">
                  <c:v>-0.12917777777777775</c:v>
                </c:pt>
                <c:pt idx="2">
                  <c:v>-6.4399999999999999E-2</c:v>
                </c:pt>
                <c:pt idx="3">
                  <c:v>-9.9886956521739123E-2</c:v>
                </c:pt>
                <c:pt idx="4">
                  <c:v>-6.4399999999999999E-2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D0-4A38-A910-14EB1ABB42E0}"/>
            </c:ext>
          </c:extLst>
        </c:ser>
        <c:ser>
          <c:idx val="3"/>
          <c:order val="3"/>
          <c:tx>
            <c:strRef>
              <c:f>'Animal welfare'!I41</c:f>
              <c:strCache>
                <c:ptCount val="1"/>
                <c:pt idx="0">
                  <c:v>Welfare impairments in Behavior</c:v>
                </c:pt>
              </c:strCache>
            </c:strRef>
          </c:tx>
          <c:spPr>
            <a:solidFill>
              <a:srgbClr val="F7C7AC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welfare'!J41:N41</c:f>
              <c:numCache>
                <c:formatCode>General</c:formatCode>
                <c:ptCount val="5"/>
                <c:pt idx="0">
                  <c:v>-0.88060000000000016</c:v>
                </c:pt>
                <c:pt idx="1">
                  <c:v>-0.32752222222222227</c:v>
                </c:pt>
                <c:pt idx="2">
                  <c:v>-0.1148</c:v>
                </c:pt>
                <c:pt idx="3">
                  <c:v>-0.23133478260869567</c:v>
                </c:pt>
                <c:pt idx="4">
                  <c:v>-0.11480000000000001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D0-4A38-A910-14EB1ABB42E0}"/>
            </c:ext>
          </c:extLst>
        </c:ser>
        <c:ser>
          <c:idx val="0"/>
          <c:order val="4"/>
          <c:tx>
            <c:strRef>
              <c:f>'Animal welfare'!I43</c:f>
              <c:strCache>
                <c:ptCount val="1"/>
                <c:pt idx="0">
                  <c:v>Actual welfare score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welfare'!$J$43:$N$43</c:f>
              <c:numCache>
                <c:formatCode>General</c:formatCode>
                <c:ptCount val="5"/>
                <c:pt idx="0">
                  <c:v>-0.95880000000000021</c:v>
                </c:pt>
                <c:pt idx="1">
                  <c:v>0.13493333333333327</c:v>
                </c:pt>
                <c:pt idx="2">
                  <c:v>0.55560000000000009</c:v>
                </c:pt>
                <c:pt idx="3">
                  <c:v>0.32514782608695647</c:v>
                </c:pt>
                <c:pt idx="4">
                  <c:v>0.55559999999999998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D0-4A38-A910-14EB1ABB42E0}"/>
            </c:ext>
          </c:extLst>
        </c:ser>
        <c:ser>
          <c:idx val="1"/>
          <c:order val="5"/>
          <c:tx>
            <c:strRef>
              <c:f>'Animal welfare'!I44</c:f>
              <c:strCache>
                <c:ptCount val="1"/>
                <c:pt idx="0">
                  <c:v>Perfect Welfare State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welfare'!$J$44:$N$44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D0-4A38-A910-14EB1ABB4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5506952"/>
        <c:axId val="1481324040"/>
      </c:barChart>
      <c:catAx>
        <c:axId val="29550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24040"/>
        <c:crosses val="autoZero"/>
        <c:auto val="1"/>
        <c:lblAlgn val="ctr"/>
        <c:lblOffset val="100"/>
        <c:noMultiLvlLbl val="0"/>
      </c:catAx>
      <c:valAx>
        <c:axId val="148132404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0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Health!$M$15</c:f>
              <c:strCache>
                <c:ptCount val="1"/>
                <c:pt idx="0">
                  <c:v>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rgbClr val="215C98"/>
                </a:solidFill>
                <a:prstDash val="solid"/>
              </a:ln>
              <a:effectLst/>
            </c:spPr>
          </c:marker>
          <c:trendline>
            <c:name>Curve fitting for male data</c:name>
            <c:spPr>
              <a:ln w="9525" cap="rnd">
                <a:solidFill>
                  <a:srgbClr val="A6C9EC"/>
                </a:solidFill>
                <a:prstDash val="solid"/>
              </a:ln>
              <a:effectLst/>
            </c:spPr>
            <c:trendlineType val="poly"/>
            <c:order val="5"/>
            <c:forward val="30"/>
            <c:backward val="30"/>
            <c:intercept val="0"/>
            <c:dispRSqr val="0"/>
            <c:dispEq val="0"/>
          </c:trendline>
          <c:xVal>
            <c:numRef>
              <c:f>Health!$L$17:$L$215</c:f>
              <c:numCache>
                <c:formatCode>General</c:formatCode>
                <c:ptCount val="199"/>
                <c:pt idx="0">
                  <c:v>1.1948815573468901</c:v>
                </c:pt>
                <c:pt idx="1">
                  <c:v>2.3897631146937801</c:v>
                </c:pt>
                <c:pt idx="2">
                  <c:v>3.5846446720406702</c:v>
                </c:pt>
                <c:pt idx="3">
                  <c:v>4.7795262293875602</c:v>
                </c:pt>
                <c:pt idx="4">
                  <c:v>5.9744077867344503</c:v>
                </c:pt>
                <c:pt idx="5">
                  <c:v>7.1692893440813403</c:v>
                </c:pt>
                <c:pt idx="6">
                  <c:v>8.3641709014282295</c:v>
                </c:pt>
                <c:pt idx="7">
                  <c:v>9.5590524587751204</c:v>
                </c:pt>
                <c:pt idx="8">
                  <c:v>10.753934016122001</c:v>
                </c:pt>
                <c:pt idx="9">
                  <c:v>11.948815573468901</c:v>
                </c:pt>
                <c:pt idx="10">
                  <c:v>13.1436971308158</c:v>
                </c:pt>
                <c:pt idx="11">
                  <c:v>14.3385786881627</c:v>
                </c:pt>
                <c:pt idx="12">
                  <c:v>15.5334602455096</c:v>
                </c:pt>
                <c:pt idx="13">
                  <c:v>16.728341802856502</c:v>
                </c:pt>
                <c:pt idx="14">
                  <c:v>17.923223360203298</c:v>
                </c:pt>
                <c:pt idx="15">
                  <c:v>19.118104917550198</c:v>
                </c:pt>
                <c:pt idx="16">
                  <c:v>20.312986474897102</c:v>
                </c:pt>
                <c:pt idx="17">
                  <c:v>21.507868032244001</c:v>
                </c:pt>
                <c:pt idx="18">
                  <c:v>22.702749589590901</c:v>
                </c:pt>
                <c:pt idx="19">
                  <c:v>23.897631146937801</c:v>
                </c:pt>
                <c:pt idx="20">
                  <c:v>25.092512704284701</c:v>
                </c:pt>
                <c:pt idx="21">
                  <c:v>26.287394261631601</c:v>
                </c:pt>
                <c:pt idx="22">
                  <c:v>27.482275818978501</c:v>
                </c:pt>
                <c:pt idx="23">
                  <c:v>28.677157376325301</c:v>
                </c:pt>
                <c:pt idx="24">
                  <c:v>29.872038933672201</c:v>
                </c:pt>
                <c:pt idx="25">
                  <c:v>31.066920491019101</c:v>
                </c:pt>
                <c:pt idx="26">
                  <c:v>32.261802048366</c:v>
                </c:pt>
                <c:pt idx="27">
                  <c:v>33.456683605712897</c:v>
                </c:pt>
                <c:pt idx="28">
                  <c:v>34.6515651630598</c:v>
                </c:pt>
                <c:pt idx="29">
                  <c:v>35.846446720406703</c:v>
                </c:pt>
                <c:pt idx="30">
                  <c:v>37.0413282777536</c:v>
                </c:pt>
                <c:pt idx="31">
                  <c:v>38.236209835100503</c:v>
                </c:pt>
                <c:pt idx="32">
                  <c:v>39.4310913924473</c:v>
                </c:pt>
                <c:pt idx="33">
                  <c:v>40.625972949794203</c:v>
                </c:pt>
                <c:pt idx="34">
                  <c:v>41.8208545071411</c:v>
                </c:pt>
                <c:pt idx="35">
                  <c:v>43.015736064488003</c:v>
                </c:pt>
                <c:pt idx="36">
                  <c:v>44.210617621834899</c:v>
                </c:pt>
                <c:pt idx="37">
                  <c:v>45.405499179181803</c:v>
                </c:pt>
                <c:pt idx="38">
                  <c:v>46.600380736528699</c:v>
                </c:pt>
                <c:pt idx="39">
                  <c:v>47.795262293875602</c:v>
                </c:pt>
                <c:pt idx="40">
                  <c:v>48.990143851222498</c:v>
                </c:pt>
                <c:pt idx="41">
                  <c:v>50.185025408569402</c:v>
                </c:pt>
                <c:pt idx="42">
                  <c:v>51.379906965916199</c:v>
                </c:pt>
                <c:pt idx="43">
                  <c:v>52.574788523263102</c:v>
                </c:pt>
                <c:pt idx="44">
                  <c:v>53.769670080609998</c:v>
                </c:pt>
                <c:pt idx="45">
                  <c:v>54.964551637956902</c:v>
                </c:pt>
                <c:pt idx="46">
                  <c:v>56.159433195303798</c:v>
                </c:pt>
                <c:pt idx="47">
                  <c:v>57.354314752650701</c:v>
                </c:pt>
                <c:pt idx="48">
                  <c:v>58.549196309997598</c:v>
                </c:pt>
                <c:pt idx="49">
                  <c:v>59.744077867344501</c:v>
                </c:pt>
                <c:pt idx="50">
                  <c:v>60.938959424691397</c:v>
                </c:pt>
                <c:pt idx="51">
                  <c:v>62.133840982038301</c:v>
                </c:pt>
                <c:pt idx="52">
                  <c:v>63.328722539385097</c:v>
                </c:pt>
                <c:pt idx="53">
                  <c:v>64.523604096732001</c:v>
                </c:pt>
                <c:pt idx="54">
                  <c:v>65.718485654078904</c:v>
                </c:pt>
                <c:pt idx="55">
                  <c:v>66.913367211425793</c:v>
                </c:pt>
                <c:pt idx="56">
                  <c:v>68.108248768772697</c:v>
                </c:pt>
                <c:pt idx="57">
                  <c:v>69.3031303261196</c:v>
                </c:pt>
                <c:pt idx="58">
                  <c:v>70.498011883466503</c:v>
                </c:pt>
                <c:pt idx="59">
                  <c:v>71.692893440813407</c:v>
                </c:pt>
                <c:pt idx="60">
                  <c:v>72.887774998160296</c:v>
                </c:pt>
                <c:pt idx="61">
                  <c:v>74.0826565555071</c:v>
                </c:pt>
                <c:pt idx="62">
                  <c:v>75.277538112854003</c:v>
                </c:pt>
                <c:pt idx="63">
                  <c:v>76.472419670200907</c:v>
                </c:pt>
                <c:pt idx="64">
                  <c:v>77.667301227547796</c:v>
                </c:pt>
                <c:pt idx="65">
                  <c:v>78.862182784894699</c:v>
                </c:pt>
                <c:pt idx="66">
                  <c:v>80.057064342241603</c:v>
                </c:pt>
                <c:pt idx="67">
                  <c:v>81.251945899588506</c:v>
                </c:pt>
                <c:pt idx="68">
                  <c:v>82.446827456935395</c:v>
                </c:pt>
                <c:pt idx="69">
                  <c:v>83.641709014282299</c:v>
                </c:pt>
                <c:pt idx="70">
                  <c:v>84.836590571629102</c:v>
                </c:pt>
                <c:pt idx="71">
                  <c:v>86.031472128976006</c:v>
                </c:pt>
                <c:pt idx="72">
                  <c:v>87.226353686322895</c:v>
                </c:pt>
                <c:pt idx="73">
                  <c:v>88.421235243669798</c:v>
                </c:pt>
                <c:pt idx="74">
                  <c:v>89.616116801016702</c:v>
                </c:pt>
                <c:pt idx="75">
                  <c:v>90.810998358363605</c:v>
                </c:pt>
                <c:pt idx="76">
                  <c:v>92.005879915710494</c:v>
                </c:pt>
                <c:pt idx="77">
                  <c:v>93.200761473057398</c:v>
                </c:pt>
                <c:pt idx="78">
                  <c:v>94.395643030404301</c:v>
                </c:pt>
                <c:pt idx="79">
                  <c:v>95.590524587751204</c:v>
                </c:pt>
                <c:pt idx="80">
                  <c:v>96.785406145097994</c:v>
                </c:pt>
                <c:pt idx="81">
                  <c:v>97.980287702444897</c:v>
                </c:pt>
                <c:pt idx="82">
                  <c:v>99.175169259791801</c:v>
                </c:pt>
                <c:pt idx="83">
                  <c:v>100.370050817139</c:v>
                </c:pt>
                <c:pt idx="84">
                  <c:v>101.56493237448601</c:v>
                </c:pt>
                <c:pt idx="85">
                  <c:v>102.759813931832</c:v>
                </c:pt>
                <c:pt idx="86">
                  <c:v>103.954695489179</c:v>
                </c:pt>
                <c:pt idx="87">
                  <c:v>105.14957704652601</c:v>
                </c:pt>
                <c:pt idx="88">
                  <c:v>106.34445860387299</c:v>
                </c:pt>
                <c:pt idx="89">
                  <c:v>107.53934016122</c:v>
                </c:pt>
                <c:pt idx="90">
                  <c:v>108.734221718567</c:v>
                </c:pt>
                <c:pt idx="91">
                  <c:v>109.929103275914</c:v>
                </c:pt>
                <c:pt idx="92">
                  <c:v>111.12398483326101</c:v>
                </c:pt>
                <c:pt idx="93">
                  <c:v>112.31886639060799</c:v>
                </c:pt>
                <c:pt idx="94">
                  <c:v>113.513747947954</c:v>
                </c:pt>
                <c:pt idx="95">
                  <c:v>114.708629505301</c:v>
                </c:pt>
                <c:pt idx="96">
                  <c:v>115.90351106264799</c:v>
                </c:pt>
                <c:pt idx="97">
                  <c:v>117.098392619995</c:v>
                </c:pt>
                <c:pt idx="98">
                  <c:v>118.293274177342</c:v>
                </c:pt>
                <c:pt idx="99">
                  <c:v>119.488155734689</c:v>
                </c:pt>
                <c:pt idx="100">
                  <c:v>120.683037292036</c:v>
                </c:pt>
                <c:pt idx="101">
                  <c:v>121.87791884938299</c:v>
                </c:pt>
                <c:pt idx="102">
                  <c:v>123.07280040673</c:v>
                </c:pt>
                <c:pt idx="103">
                  <c:v>124.267681964077</c:v>
                </c:pt>
                <c:pt idx="104">
                  <c:v>125.46256352142299</c:v>
                </c:pt>
                <c:pt idx="105">
                  <c:v>126.65744507877</c:v>
                </c:pt>
                <c:pt idx="106">
                  <c:v>127.852326636117</c:v>
                </c:pt>
                <c:pt idx="107">
                  <c:v>129.047208193464</c:v>
                </c:pt>
                <c:pt idx="108">
                  <c:v>130.242089750811</c:v>
                </c:pt>
                <c:pt idx="109">
                  <c:v>131.43697130815801</c:v>
                </c:pt>
                <c:pt idx="110">
                  <c:v>132.63185286550501</c:v>
                </c:pt>
                <c:pt idx="111">
                  <c:v>133.82673442285201</c:v>
                </c:pt>
                <c:pt idx="112">
                  <c:v>135.02161598019899</c:v>
                </c:pt>
                <c:pt idx="113">
                  <c:v>136.216497537545</c:v>
                </c:pt>
                <c:pt idx="114">
                  <c:v>137.411379094892</c:v>
                </c:pt>
                <c:pt idx="115">
                  <c:v>138.606260652239</c:v>
                </c:pt>
                <c:pt idx="116">
                  <c:v>139.801142209586</c:v>
                </c:pt>
                <c:pt idx="117">
                  <c:v>140.99602376693301</c:v>
                </c:pt>
                <c:pt idx="118">
                  <c:v>142.19090532428001</c:v>
                </c:pt>
                <c:pt idx="119">
                  <c:v>143.38578688162701</c:v>
                </c:pt>
                <c:pt idx="120">
                  <c:v>144.58066843897399</c:v>
                </c:pt>
                <c:pt idx="121">
                  <c:v>145.77554999632099</c:v>
                </c:pt>
                <c:pt idx="122">
                  <c:v>146.970431553667</c:v>
                </c:pt>
                <c:pt idx="123">
                  <c:v>148.165313111014</c:v>
                </c:pt>
                <c:pt idx="124">
                  <c:v>149.360194668361</c:v>
                </c:pt>
                <c:pt idx="125">
                  <c:v>150.55507622570801</c:v>
                </c:pt>
                <c:pt idx="126">
                  <c:v>151.74995778305501</c:v>
                </c:pt>
                <c:pt idx="127">
                  <c:v>152.94483934040201</c:v>
                </c:pt>
                <c:pt idx="128">
                  <c:v>154.13972089774899</c:v>
                </c:pt>
                <c:pt idx="129">
                  <c:v>155.33460245509599</c:v>
                </c:pt>
                <c:pt idx="130">
                  <c:v>156.52948401244299</c:v>
                </c:pt>
                <c:pt idx="131">
                  <c:v>157.724365569789</c:v>
                </c:pt>
                <c:pt idx="132">
                  <c:v>158.919247127136</c:v>
                </c:pt>
                <c:pt idx="133">
                  <c:v>160.11412868448301</c:v>
                </c:pt>
                <c:pt idx="134">
                  <c:v>161.30901024183001</c:v>
                </c:pt>
                <c:pt idx="135">
                  <c:v>162.50389179917701</c:v>
                </c:pt>
                <c:pt idx="136">
                  <c:v>163.69877335652399</c:v>
                </c:pt>
                <c:pt idx="137">
                  <c:v>164.89365491387099</c:v>
                </c:pt>
                <c:pt idx="138">
                  <c:v>166.08853647121799</c:v>
                </c:pt>
                <c:pt idx="139">
                  <c:v>167.28341802856499</c:v>
                </c:pt>
                <c:pt idx="140">
                  <c:v>168.478299585911</c:v>
                </c:pt>
                <c:pt idx="141">
                  <c:v>169.67318114325801</c:v>
                </c:pt>
                <c:pt idx="142">
                  <c:v>170.86806270060501</c:v>
                </c:pt>
                <c:pt idx="143">
                  <c:v>172.06294425795201</c:v>
                </c:pt>
                <c:pt idx="144">
                  <c:v>173.25782581529899</c:v>
                </c:pt>
                <c:pt idx="145">
                  <c:v>174.45270737264599</c:v>
                </c:pt>
                <c:pt idx="146">
                  <c:v>175.64758892999299</c:v>
                </c:pt>
                <c:pt idx="147">
                  <c:v>176.84247048733999</c:v>
                </c:pt>
                <c:pt idx="148">
                  <c:v>178.037352044687</c:v>
                </c:pt>
                <c:pt idx="149">
                  <c:v>179.23223360203301</c:v>
                </c:pt>
                <c:pt idx="150">
                  <c:v>180.42711515938001</c:v>
                </c:pt>
                <c:pt idx="151">
                  <c:v>181.62199671672701</c:v>
                </c:pt>
                <c:pt idx="152">
                  <c:v>182.81687827407401</c:v>
                </c:pt>
                <c:pt idx="153">
                  <c:v>184.01175983142099</c:v>
                </c:pt>
                <c:pt idx="154">
                  <c:v>185.20664138876799</c:v>
                </c:pt>
                <c:pt idx="155">
                  <c:v>186.40152294611499</c:v>
                </c:pt>
                <c:pt idx="156">
                  <c:v>187.596404503462</c:v>
                </c:pt>
                <c:pt idx="157">
                  <c:v>188.791286060809</c:v>
                </c:pt>
                <c:pt idx="158">
                  <c:v>189.98616761815501</c:v>
                </c:pt>
                <c:pt idx="159">
                  <c:v>191.18104917550201</c:v>
                </c:pt>
                <c:pt idx="160">
                  <c:v>192.37593073284901</c:v>
                </c:pt>
                <c:pt idx="161">
                  <c:v>193.57081229019599</c:v>
                </c:pt>
                <c:pt idx="162">
                  <c:v>194.76569384754299</c:v>
                </c:pt>
                <c:pt idx="163">
                  <c:v>195.96057540488999</c:v>
                </c:pt>
                <c:pt idx="164">
                  <c:v>197.155456962237</c:v>
                </c:pt>
                <c:pt idx="165">
                  <c:v>198.350338519584</c:v>
                </c:pt>
                <c:pt idx="166">
                  <c:v>199.545220076931</c:v>
                </c:pt>
                <c:pt idx="167">
                  <c:v>200.74010163427701</c:v>
                </c:pt>
                <c:pt idx="168">
                  <c:v>201.93498319162401</c:v>
                </c:pt>
                <c:pt idx="169">
                  <c:v>203.12986474897099</c:v>
                </c:pt>
                <c:pt idx="170">
                  <c:v>204.32474630631799</c:v>
                </c:pt>
                <c:pt idx="171">
                  <c:v>205.51962786366499</c:v>
                </c:pt>
                <c:pt idx="172">
                  <c:v>206.714509421012</c:v>
                </c:pt>
                <c:pt idx="173">
                  <c:v>207.909390978359</c:v>
                </c:pt>
                <c:pt idx="174">
                  <c:v>209.104272535706</c:v>
                </c:pt>
                <c:pt idx="175">
                  <c:v>210.299154093053</c:v>
                </c:pt>
                <c:pt idx="176">
                  <c:v>211.49403565039901</c:v>
                </c:pt>
                <c:pt idx="177">
                  <c:v>212.68891720774599</c:v>
                </c:pt>
                <c:pt idx="178">
                  <c:v>213.88379876509299</c:v>
                </c:pt>
                <c:pt idx="179">
                  <c:v>215.07868032243999</c:v>
                </c:pt>
                <c:pt idx="180">
                  <c:v>216.273561879787</c:v>
                </c:pt>
                <c:pt idx="181">
                  <c:v>217.468443437134</c:v>
                </c:pt>
                <c:pt idx="182">
                  <c:v>218.663324994481</c:v>
                </c:pt>
                <c:pt idx="183">
                  <c:v>219.858206551828</c:v>
                </c:pt>
                <c:pt idx="184">
                  <c:v>221.05308810917501</c:v>
                </c:pt>
                <c:pt idx="185">
                  <c:v>222.24796966652099</c:v>
                </c:pt>
                <c:pt idx="186">
                  <c:v>223.44285122386799</c:v>
                </c:pt>
                <c:pt idx="187">
                  <c:v>224.63773278121499</c:v>
                </c:pt>
                <c:pt idx="188">
                  <c:v>225.832614338562</c:v>
                </c:pt>
                <c:pt idx="189">
                  <c:v>227.027495895909</c:v>
                </c:pt>
                <c:pt idx="190">
                  <c:v>228.222377453256</c:v>
                </c:pt>
                <c:pt idx="191">
                  <c:v>229.417259010603</c:v>
                </c:pt>
                <c:pt idx="192">
                  <c:v>230.61214056795001</c:v>
                </c:pt>
                <c:pt idx="193">
                  <c:v>231.80702212529701</c:v>
                </c:pt>
                <c:pt idx="194">
                  <c:v>233.00190368264299</c:v>
                </c:pt>
                <c:pt idx="195">
                  <c:v>234.19678523998999</c:v>
                </c:pt>
                <c:pt idx="196">
                  <c:v>235.391666797337</c:v>
                </c:pt>
                <c:pt idx="197">
                  <c:v>236.586548354684</c:v>
                </c:pt>
                <c:pt idx="198">
                  <c:v>237.781429912031</c:v>
                </c:pt>
              </c:numCache>
            </c:numRef>
          </c:xVal>
          <c:yVal>
            <c:numRef>
              <c:f>Health!$M$17:$M$215</c:f>
              <c:numCache>
                <c:formatCode>General</c:formatCode>
                <c:ptCount val="199"/>
                <c:pt idx="0">
                  <c:v>3.0815426004839059E-5</c:v>
                </c:pt>
                <c:pt idx="1">
                  <c:v>6.1262751428070033E-5</c:v>
                </c:pt>
                <c:pt idx="2">
                  <c:v>9.1386065487264966E-5</c:v>
                </c:pt>
                <c:pt idx="3">
                  <c:v>1.2122945739999551E-4</c:v>
                </c:pt>
                <c:pt idx="4">
                  <c:v>1.5083701638383379E-4</c:v>
                </c:pt>
                <c:pt idx="5">
                  <c:v>1.8025283165635174E-4</c:v>
                </c:pt>
                <c:pt idx="6">
                  <c:v>2.0952099243512097E-4</c:v>
                </c:pt>
                <c:pt idx="7">
                  <c:v>2.3868558793771352E-4</c:v>
                </c:pt>
                <c:pt idx="8">
                  <c:v>2.6779070738170135E-4</c:v>
                </c:pt>
                <c:pt idx="9">
                  <c:v>2.9688043998465658E-4</c:v>
                </c:pt>
                <c:pt idx="10">
                  <c:v>3.2599887496415064E-4</c:v>
                </c:pt>
                <c:pt idx="11">
                  <c:v>3.5519010153775533E-4</c:v>
                </c:pt>
                <c:pt idx="12">
                  <c:v>3.8449820892304341E-4</c:v>
                </c:pt>
                <c:pt idx="13">
                  <c:v>4.1396728633758635E-4</c:v>
                </c:pt>
                <c:pt idx="14">
                  <c:v>4.43641422998956E-4</c:v>
                </c:pt>
                <c:pt idx="15">
                  <c:v>4.735647081247227E-4</c:v>
                </c:pt>
                <c:pt idx="16">
                  <c:v>5.0378123093246176E-4</c:v>
                </c:pt>
                <c:pt idx="17">
                  <c:v>5.3433508063974058E-4</c:v>
                </c:pt>
                <c:pt idx="18">
                  <c:v>5.6527034646413504E-4</c:v>
                </c:pt>
                <c:pt idx="19">
                  <c:v>5.9663111762321675E-4</c:v>
                </c:pt>
                <c:pt idx="20">
                  <c:v>6.2846148333455616E-4</c:v>
                </c:pt>
                <c:pt idx="21">
                  <c:v>6.6080553281572501E-4</c:v>
                </c:pt>
                <c:pt idx="22">
                  <c:v>6.9370735528429407E-4</c:v>
                </c:pt>
                <c:pt idx="23">
                  <c:v>7.2721103995783865E-4</c:v>
                </c:pt>
                <c:pt idx="24">
                  <c:v>7.6136067605392973E-4</c:v>
                </c:pt>
                <c:pt idx="25">
                  <c:v>7.9620035279013603E-4</c:v>
                </c:pt>
                <c:pt idx="26">
                  <c:v>8.3177415938403372E-4</c:v>
                </c:pt>
                <c:pt idx="27">
                  <c:v>8.6812618505319216E-4</c:v>
                </c:pt>
                <c:pt idx="28">
                  <c:v>9.0977947016796759E-4</c:v>
                </c:pt>
                <c:pt idx="29">
                  <c:v>9.5393167181562254E-4</c:v>
                </c:pt>
                <c:pt idx="30">
                  <c:v>9.9917004984328745E-4</c:v>
                </c:pt>
                <c:pt idx="31">
                  <c:v>1.0457620798146714E-3</c:v>
                </c:pt>
                <c:pt idx="32">
                  <c:v>1.0935893114187444E-3</c:v>
                </c:pt>
                <c:pt idx="33">
                  <c:v>1.1425424789848998E-3</c:v>
                </c:pt>
                <c:pt idx="34">
                  <c:v>1.1925246611854984E-3</c:v>
                </c:pt>
                <c:pt idx="35">
                  <c:v>1.2434392797362141E-3</c:v>
                </c:pt>
                <c:pt idx="36">
                  <c:v>1.2951726703990169E-3</c:v>
                </c:pt>
                <c:pt idx="37">
                  <c:v>1.347624550439297E-3</c:v>
                </c:pt>
                <c:pt idx="38">
                  <c:v>1.4007077040274834E-3</c:v>
                </c:pt>
                <c:pt idx="39">
                  <c:v>1.4543366639295924E-3</c:v>
                </c:pt>
                <c:pt idx="40">
                  <c:v>1.5084135694418809E-3</c:v>
                </c:pt>
                <c:pt idx="41">
                  <c:v>1.5628555356102837E-3</c:v>
                </c:pt>
                <c:pt idx="42">
                  <c:v>1.6175911484712117E-3</c:v>
                </c:pt>
                <c:pt idx="43">
                  <c:v>1.672551295748653E-3</c:v>
                </c:pt>
                <c:pt idx="44">
                  <c:v>1.7276596581720413E-3</c:v>
                </c:pt>
                <c:pt idx="45">
                  <c:v>1.7828527533580998E-3</c:v>
                </c:pt>
                <c:pt idx="46">
                  <c:v>1.8380770540722059E-3</c:v>
                </c:pt>
                <c:pt idx="47">
                  <c:v>1.8932815538313229E-3</c:v>
                </c:pt>
                <c:pt idx="48">
                  <c:v>1.9484096772599969E-3</c:v>
                </c:pt>
                <c:pt idx="49">
                  <c:v>2.0034171460544797E-3</c:v>
                </c:pt>
                <c:pt idx="50">
                  <c:v>2.0582664023456473E-3</c:v>
                </c:pt>
                <c:pt idx="51">
                  <c:v>2.1129218720640475E-3</c:v>
                </c:pt>
                <c:pt idx="52">
                  <c:v>2.1673463190184749E-3</c:v>
                </c:pt>
                <c:pt idx="53">
                  <c:v>2.2215084032045332E-3</c:v>
                </c:pt>
                <c:pt idx="54">
                  <c:v>2.2753819694779245E-3</c:v>
                </c:pt>
                <c:pt idx="55">
                  <c:v>2.3289424489654469E-3</c:v>
                </c:pt>
                <c:pt idx="56">
                  <c:v>2.3821639277044229E-3</c:v>
                </c:pt>
                <c:pt idx="57">
                  <c:v>2.435026483319992E-3</c:v>
                </c:pt>
                <c:pt idx="58">
                  <c:v>2.4875132719686284E-3</c:v>
                </c:pt>
                <c:pt idx="59">
                  <c:v>2.5396084050249624E-3</c:v>
                </c:pt>
                <c:pt idx="60">
                  <c:v>2.5912939092610486E-3</c:v>
                </c:pt>
                <c:pt idx="61">
                  <c:v>2.6425563377478413E-3</c:v>
                </c:pt>
                <c:pt idx="62">
                  <c:v>2.6933841366904103E-3</c:v>
                </c:pt>
                <c:pt idx="63">
                  <c:v>2.7437663598838522E-3</c:v>
                </c:pt>
                <c:pt idx="64">
                  <c:v>2.7936916805714643E-3</c:v>
                </c:pt>
                <c:pt idx="65">
                  <c:v>2.8431512531850956E-3</c:v>
                </c:pt>
                <c:pt idx="66">
                  <c:v>2.8921371634182524E-3</c:v>
                </c:pt>
                <c:pt idx="67">
                  <c:v>2.9406416839911267E-3</c:v>
                </c:pt>
                <c:pt idx="68">
                  <c:v>2.988657012472232E-3</c:v>
                </c:pt>
                <c:pt idx="69">
                  <c:v>3.0361774746412175E-3</c:v>
                </c:pt>
                <c:pt idx="70">
                  <c:v>3.0831978961082178E-3</c:v>
                </c:pt>
                <c:pt idx="71">
                  <c:v>3.1297131965621985E-3</c:v>
                </c:pt>
                <c:pt idx="72">
                  <c:v>3.1757192183976238E-3</c:v>
                </c:pt>
                <c:pt idx="73">
                  <c:v>3.2212118779759579E-3</c:v>
                </c:pt>
                <c:pt idx="74">
                  <c:v>3.2661880965920357E-3</c:v>
                </c:pt>
                <c:pt idx="75">
                  <c:v>3.310645292014918E-3</c:v>
                </c:pt>
                <c:pt idx="76">
                  <c:v>3.3545811169774574E-3</c:v>
                </c:pt>
                <c:pt idx="77">
                  <c:v>3.3979943032078396E-3</c:v>
                </c:pt>
                <c:pt idx="78">
                  <c:v>3.4408840738989659E-3</c:v>
                </c:pt>
                <c:pt idx="79">
                  <c:v>3.4832500139386031E-3</c:v>
                </c:pt>
                <c:pt idx="80">
                  <c:v>3.5250924768313596E-3</c:v>
                </c:pt>
                <c:pt idx="81">
                  <c:v>3.5664124480421474E-3</c:v>
                </c:pt>
                <c:pt idx="82">
                  <c:v>3.6072113280994798E-3</c:v>
                </c:pt>
                <c:pt idx="83">
                  <c:v>3.6474909897694675E-3</c:v>
                </c:pt>
                <c:pt idx="84">
                  <c:v>3.6872546298428854E-3</c:v>
                </c:pt>
                <c:pt idx="85">
                  <c:v>3.7265057261933214E-3</c:v>
                </c:pt>
                <c:pt idx="86">
                  <c:v>3.7652480525864713E-3</c:v>
                </c:pt>
                <c:pt idx="87">
                  <c:v>3.8034859544276763E-3</c:v>
                </c:pt>
                <c:pt idx="88">
                  <c:v>3.8412255613884776E-3</c:v>
                </c:pt>
                <c:pt idx="89">
                  <c:v>3.8784728837335052E-3</c:v>
                </c:pt>
                <c:pt idx="90">
                  <c:v>3.9152340645890026E-3</c:v>
                </c:pt>
                <c:pt idx="91">
                  <c:v>3.9515158780722278E-3</c:v>
                </c:pt>
                <c:pt idx="92">
                  <c:v>3.98732735954939E-3</c:v>
                </c:pt>
                <c:pt idx="93">
                  <c:v>4.0226768467444942E-3</c:v>
                </c:pt>
                <c:pt idx="94">
                  <c:v>4.0575726597910141E-3</c:v>
                </c:pt>
                <c:pt idx="95">
                  <c:v>4.092023796905717E-3</c:v>
                </c:pt>
                <c:pt idx="96">
                  <c:v>4.1260417757484676E-3</c:v>
                </c:pt>
                <c:pt idx="97">
                  <c:v>4.1596368410986529E-3</c:v>
                </c:pt>
                <c:pt idx="98">
                  <c:v>4.1928190605628407E-3</c:v>
                </c:pt>
                <c:pt idx="99">
                  <c:v>4.2255991796588824E-3</c:v>
                </c:pt>
                <c:pt idx="100">
                  <c:v>4.2579905346572609E-3</c:v>
                </c:pt>
                <c:pt idx="101">
                  <c:v>4.2900046336064659E-3</c:v>
                </c:pt>
                <c:pt idx="102">
                  <c:v>4.321652665670638E-3</c:v>
                </c:pt>
                <c:pt idx="103">
                  <c:v>4.3529464568253613E-3</c:v>
                </c:pt>
                <c:pt idx="104">
                  <c:v>4.3839003167559449E-3</c:v>
                </c:pt>
                <c:pt idx="105">
                  <c:v>4.4145262699871934E-3</c:v>
                </c:pt>
                <c:pt idx="106">
                  <c:v>4.4448359060641736E-3</c:v>
                </c:pt>
                <c:pt idx="107">
                  <c:v>4.4748413697969416E-3</c:v>
                </c:pt>
                <c:pt idx="108">
                  <c:v>4.5045570026751702E-3</c:v>
                </c:pt>
                <c:pt idx="109">
                  <c:v>4.5339945777419588E-3</c:v>
                </c:pt>
                <c:pt idx="110">
                  <c:v>4.5631653533798038E-3</c:v>
                </c:pt>
                <c:pt idx="111">
                  <c:v>4.5920810321951732E-3</c:v>
                </c:pt>
                <c:pt idx="112">
                  <c:v>4.6207550854652129E-3</c:v>
                </c:pt>
                <c:pt idx="113">
                  <c:v>4.6491983340404622E-3</c:v>
                </c:pt>
                <c:pt idx="114">
                  <c:v>4.6774210393203302E-3</c:v>
                </c:pt>
                <c:pt idx="115">
                  <c:v>4.7054337684368829E-3</c:v>
                </c:pt>
                <c:pt idx="116">
                  <c:v>4.7332483811110149E-3</c:v>
                </c:pt>
                <c:pt idx="117">
                  <c:v>4.7608741829496598E-3</c:v>
                </c:pt>
                <c:pt idx="118">
                  <c:v>4.7883199308244419E-3</c:v>
                </c:pt>
                <c:pt idx="119">
                  <c:v>4.8155945616797985E-3</c:v>
                </c:pt>
                <c:pt idx="120">
                  <c:v>4.8427078249278109E-3</c:v>
                </c:pt>
                <c:pt idx="121">
                  <c:v>4.8696672128073232E-3</c:v>
                </c:pt>
                <c:pt idx="122">
                  <c:v>4.8964797215231256E-3</c:v>
                </c:pt>
                <c:pt idx="123">
                  <c:v>4.9231524212570692E-3</c:v>
                </c:pt>
                <c:pt idx="124">
                  <c:v>4.9496928296545381E-3</c:v>
                </c:pt>
                <c:pt idx="125">
                  <c:v>4.9761066240325749E-3</c:v>
                </c:pt>
                <c:pt idx="126">
                  <c:v>5.0023990782196437E-3</c:v>
                </c:pt>
                <c:pt idx="127">
                  <c:v>5.0285754827307048E-3</c:v>
                </c:pt>
                <c:pt idx="128">
                  <c:v>5.0546413637739263E-3</c:v>
                </c:pt>
                <c:pt idx="129">
                  <c:v>5.0806008638058535E-3</c:v>
                </c:pt>
                <c:pt idx="130">
                  <c:v>5.1064578348808121E-3</c:v>
                </c:pt>
                <c:pt idx="131">
                  <c:v>5.1322161439329968E-3</c:v>
                </c:pt>
                <c:pt idx="132">
                  <c:v>5.1578798208322656E-3</c:v>
                </c:pt>
                <c:pt idx="133">
                  <c:v>5.1834519145914776E-3</c:v>
                </c:pt>
                <c:pt idx="134">
                  <c:v>5.2089352900700579E-3</c:v>
                </c:pt>
                <c:pt idx="135">
                  <c:v>5.2343328628156943E-3</c:v>
                </c:pt>
                <c:pt idx="136">
                  <c:v>5.2596477228198423E-3</c:v>
                </c:pt>
                <c:pt idx="137">
                  <c:v>5.284882270260121E-3</c:v>
                </c:pt>
                <c:pt idx="138">
                  <c:v>5.3100387997931419E-3</c:v>
                </c:pt>
                <c:pt idx="139">
                  <c:v>5.3351196943652503E-3</c:v>
                </c:pt>
                <c:pt idx="140">
                  <c:v>5.3601276682505175E-3</c:v>
                </c:pt>
                <c:pt idx="141">
                  <c:v>5.3850647749411002E-3</c:v>
                </c:pt>
                <c:pt idx="142">
                  <c:v>5.4099330155353122E-3</c:v>
                </c:pt>
                <c:pt idx="143">
                  <c:v>5.4347345418598514E-3</c:v>
                </c:pt>
                <c:pt idx="144">
                  <c:v>5.4594717677701656E-3</c:v>
                </c:pt>
                <c:pt idx="145">
                  <c:v>5.4841466222010308E-3</c:v>
                </c:pt>
                <c:pt idx="146">
                  <c:v>5.5087610358159371E-3</c:v>
                </c:pt>
                <c:pt idx="147">
                  <c:v>5.5333171954005432E-3</c:v>
                </c:pt>
                <c:pt idx="148">
                  <c:v>5.5578172208247661E-3</c:v>
                </c:pt>
                <c:pt idx="149">
                  <c:v>5.5822629762962228E-3</c:v>
                </c:pt>
                <c:pt idx="150">
                  <c:v>5.6066563071484566E-3</c:v>
                </c:pt>
                <c:pt idx="151">
                  <c:v>5.6309992192233559E-3</c:v>
                </c:pt>
                <c:pt idx="152">
                  <c:v>5.6552940168742866E-3</c:v>
                </c:pt>
                <c:pt idx="153">
                  <c:v>5.6795423632198336E-3</c:v>
                </c:pt>
                <c:pt idx="154">
                  <c:v>5.7037459054281436E-3</c:v>
                </c:pt>
                <c:pt idx="155">
                  <c:v>5.7279065069848582E-3</c:v>
                </c:pt>
                <c:pt idx="156">
                  <c:v>5.7520261497789292E-3</c:v>
                </c:pt>
                <c:pt idx="157">
                  <c:v>5.7761064552026078E-3</c:v>
                </c:pt>
                <c:pt idx="158">
                  <c:v>5.8001489622100076E-3</c:v>
                </c:pt>
                <c:pt idx="159">
                  <c:v>5.8241552239906794E-3</c:v>
                </c:pt>
                <c:pt idx="160">
                  <c:v>5.8481269335260867E-3</c:v>
                </c:pt>
                <c:pt idx="161">
                  <c:v>5.8720654052387359E-3</c:v>
                </c:pt>
                <c:pt idx="162">
                  <c:v>5.8959719028259007E-3</c:v>
                </c:pt>
                <c:pt idx="163">
                  <c:v>5.9198477420417447E-3</c:v>
                </c:pt>
                <c:pt idx="164">
                  <c:v>5.9436945532065008E-3</c:v>
                </c:pt>
                <c:pt idx="165">
                  <c:v>5.9675133073194856E-3</c:v>
                </c:pt>
                <c:pt idx="166">
                  <c:v>5.9913048843383962E-3</c:v>
                </c:pt>
                <c:pt idx="167">
                  <c:v>6.0150701591701501E-3</c:v>
                </c:pt>
                <c:pt idx="168">
                  <c:v>6.0388102603687859E-3</c:v>
                </c:pt>
                <c:pt idx="169">
                  <c:v>6.062525734045747E-3</c:v>
                </c:pt>
                <c:pt idx="170">
                  <c:v>6.0862171130177146E-3</c:v>
                </c:pt>
                <c:pt idx="171">
                  <c:v>6.1098851016668787E-3</c:v>
                </c:pt>
                <c:pt idx="172">
                  <c:v>6.1335305946053969E-3</c:v>
                </c:pt>
                <c:pt idx="173">
                  <c:v>6.1571540452793946E-3</c:v>
                </c:pt>
                <c:pt idx="174">
                  <c:v>6.1807557663940841E-3</c:v>
                </c:pt>
                <c:pt idx="175">
                  <c:v>6.2043358127351813E-3</c:v>
                </c:pt>
                <c:pt idx="176">
                  <c:v>6.2278945429135512E-3</c:v>
                </c:pt>
                <c:pt idx="177">
                  <c:v>6.2514321680211199E-3</c:v>
                </c:pt>
                <c:pt idx="178">
                  <c:v>6.2749488697669319E-3</c:v>
                </c:pt>
                <c:pt idx="179">
                  <c:v>6.2984447898484994E-3</c:v>
                </c:pt>
                <c:pt idx="180">
                  <c:v>6.3219201865692314E-3</c:v>
                </c:pt>
                <c:pt idx="181">
                  <c:v>6.345375229321739E-3</c:v>
                </c:pt>
                <c:pt idx="182">
                  <c:v>6.3688100054629382E-3</c:v>
                </c:pt>
                <c:pt idx="183">
                  <c:v>6.3922243585394327E-3</c:v>
                </c:pt>
                <c:pt idx="184">
                  <c:v>6.4156182623802994E-3</c:v>
                </c:pt>
                <c:pt idx="185">
                  <c:v>6.4389918332119498E-3</c:v>
                </c:pt>
                <c:pt idx="186">
                  <c:v>6.4623451110146241E-3</c:v>
                </c:pt>
                <c:pt idx="187">
                  <c:v>6.4856777380554089E-3</c:v>
                </c:pt>
                <c:pt idx="188">
                  <c:v>6.5089896872046922E-3</c:v>
                </c:pt>
                <c:pt idx="189">
                  <c:v>6.5322809392483481E-3</c:v>
                </c:pt>
                <c:pt idx="190">
                  <c:v>6.5555514650279048E-3</c:v>
                </c:pt>
                <c:pt idx="191">
                  <c:v>6.5788011869444812E-3</c:v>
                </c:pt>
                <c:pt idx="192">
                  <c:v>6.6020298290523048E-3</c:v>
                </c:pt>
                <c:pt idx="193">
                  <c:v>6.6252373629094715E-3</c:v>
                </c:pt>
                <c:pt idx="194">
                  <c:v>6.648423831024132E-3</c:v>
                </c:pt>
                <c:pt idx="195">
                  <c:v>6.6715894386542955E-3</c:v>
                </c:pt>
                <c:pt idx="196">
                  <c:v>6.6947339101145953E-3</c:v>
                </c:pt>
                <c:pt idx="197">
                  <c:v>6.7178563712472442E-3</c:v>
                </c:pt>
                <c:pt idx="198">
                  <c:v>6.7409595388925256E-3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64-474D-A6EB-239F5D67666B}"/>
            </c:ext>
          </c:extLst>
        </c:ser>
        <c:ser>
          <c:idx val="1"/>
          <c:order val="1"/>
          <c:tx>
            <c:strRef>
              <c:f>Health!N15</c:f>
              <c:strCache>
                <c:ptCount val="1"/>
                <c:pt idx="0">
                  <c:v>Female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rgbClr val="BE5014"/>
                </a:solidFill>
                <a:prstDash val="solid"/>
              </a:ln>
              <a:effectLst/>
            </c:spPr>
          </c:marker>
          <c:trendline>
            <c:name>Curve fitting for female data</c:name>
            <c:spPr>
              <a:ln w="12700" cap="rnd">
                <a:solidFill>
                  <a:srgbClr val="E97132"/>
                </a:solidFill>
                <a:prstDash val="solid"/>
              </a:ln>
              <a:effectLst/>
            </c:spPr>
            <c:trendlineType val="poly"/>
            <c:order val="5"/>
            <c:forward val="30"/>
            <c:backward val="30"/>
            <c:intercept val="0"/>
            <c:dispRSqr val="0"/>
            <c:dispEq val="0"/>
          </c:trendline>
          <c:xVal>
            <c:numRef>
              <c:f>Health!$L$17:$L$215</c:f>
              <c:numCache>
                <c:formatCode>General</c:formatCode>
                <c:ptCount val="199"/>
                <c:pt idx="0">
                  <c:v>1.1948815573468901</c:v>
                </c:pt>
                <c:pt idx="1">
                  <c:v>2.3897631146937801</c:v>
                </c:pt>
                <c:pt idx="2">
                  <c:v>3.5846446720406702</c:v>
                </c:pt>
                <c:pt idx="3">
                  <c:v>4.7795262293875602</c:v>
                </c:pt>
                <c:pt idx="4">
                  <c:v>5.9744077867344503</c:v>
                </c:pt>
                <c:pt idx="5">
                  <c:v>7.1692893440813403</c:v>
                </c:pt>
                <c:pt idx="6">
                  <c:v>8.3641709014282295</c:v>
                </c:pt>
                <c:pt idx="7">
                  <c:v>9.5590524587751204</c:v>
                </c:pt>
                <c:pt idx="8">
                  <c:v>10.753934016122001</c:v>
                </c:pt>
                <c:pt idx="9">
                  <c:v>11.948815573468901</c:v>
                </c:pt>
                <c:pt idx="10">
                  <c:v>13.1436971308158</c:v>
                </c:pt>
                <c:pt idx="11">
                  <c:v>14.3385786881627</c:v>
                </c:pt>
                <c:pt idx="12">
                  <c:v>15.5334602455096</c:v>
                </c:pt>
                <c:pt idx="13">
                  <c:v>16.728341802856502</c:v>
                </c:pt>
                <c:pt idx="14">
                  <c:v>17.923223360203298</c:v>
                </c:pt>
                <c:pt idx="15">
                  <c:v>19.118104917550198</c:v>
                </c:pt>
                <c:pt idx="16">
                  <c:v>20.312986474897102</c:v>
                </c:pt>
                <c:pt idx="17">
                  <c:v>21.507868032244001</c:v>
                </c:pt>
                <c:pt idx="18">
                  <c:v>22.702749589590901</c:v>
                </c:pt>
                <c:pt idx="19">
                  <c:v>23.897631146937801</c:v>
                </c:pt>
                <c:pt idx="20">
                  <c:v>25.092512704284701</c:v>
                </c:pt>
                <c:pt idx="21">
                  <c:v>26.287394261631601</c:v>
                </c:pt>
                <c:pt idx="22">
                  <c:v>27.482275818978501</c:v>
                </c:pt>
                <c:pt idx="23">
                  <c:v>28.677157376325301</c:v>
                </c:pt>
                <c:pt idx="24">
                  <c:v>29.872038933672201</c:v>
                </c:pt>
                <c:pt idx="25">
                  <c:v>31.066920491019101</c:v>
                </c:pt>
                <c:pt idx="26">
                  <c:v>32.261802048366</c:v>
                </c:pt>
                <c:pt idx="27">
                  <c:v>33.456683605712897</c:v>
                </c:pt>
                <c:pt idx="28">
                  <c:v>34.6515651630598</c:v>
                </c:pt>
                <c:pt idx="29">
                  <c:v>35.846446720406703</c:v>
                </c:pt>
                <c:pt idx="30">
                  <c:v>37.0413282777536</c:v>
                </c:pt>
                <c:pt idx="31">
                  <c:v>38.236209835100503</c:v>
                </c:pt>
                <c:pt idx="32">
                  <c:v>39.4310913924473</c:v>
                </c:pt>
                <c:pt idx="33">
                  <c:v>40.625972949794203</c:v>
                </c:pt>
                <c:pt idx="34">
                  <c:v>41.8208545071411</c:v>
                </c:pt>
                <c:pt idx="35">
                  <c:v>43.015736064488003</c:v>
                </c:pt>
                <c:pt idx="36">
                  <c:v>44.210617621834899</c:v>
                </c:pt>
                <c:pt idx="37">
                  <c:v>45.405499179181803</c:v>
                </c:pt>
                <c:pt idx="38">
                  <c:v>46.600380736528699</c:v>
                </c:pt>
                <c:pt idx="39">
                  <c:v>47.795262293875602</c:v>
                </c:pt>
                <c:pt idx="40">
                  <c:v>48.990143851222498</c:v>
                </c:pt>
                <c:pt idx="41">
                  <c:v>50.185025408569402</c:v>
                </c:pt>
                <c:pt idx="42">
                  <c:v>51.379906965916199</c:v>
                </c:pt>
                <c:pt idx="43">
                  <c:v>52.574788523263102</c:v>
                </c:pt>
                <c:pt idx="44">
                  <c:v>53.769670080609998</c:v>
                </c:pt>
                <c:pt idx="45">
                  <c:v>54.964551637956902</c:v>
                </c:pt>
                <c:pt idx="46">
                  <c:v>56.159433195303798</c:v>
                </c:pt>
                <c:pt idx="47">
                  <c:v>57.354314752650701</c:v>
                </c:pt>
                <c:pt idx="48">
                  <c:v>58.549196309997598</c:v>
                </c:pt>
                <c:pt idx="49">
                  <c:v>59.744077867344501</c:v>
                </c:pt>
                <c:pt idx="50">
                  <c:v>60.938959424691397</c:v>
                </c:pt>
                <c:pt idx="51">
                  <c:v>62.133840982038301</c:v>
                </c:pt>
                <c:pt idx="52">
                  <c:v>63.328722539385097</c:v>
                </c:pt>
                <c:pt idx="53">
                  <c:v>64.523604096732001</c:v>
                </c:pt>
                <c:pt idx="54">
                  <c:v>65.718485654078904</c:v>
                </c:pt>
                <c:pt idx="55">
                  <c:v>66.913367211425793</c:v>
                </c:pt>
                <c:pt idx="56">
                  <c:v>68.108248768772697</c:v>
                </c:pt>
                <c:pt idx="57">
                  <c:v>69.3031303261196</c:v>
                </c:pt>
                <c:pt idx="58">
                  <c:v>70.498011883466503</c:v>
                </c:pt>
                <c:pt idx="59">
                  <c:v>71.692893440813407</c:v>
                </c:pt>
                <c:pt idx="60">
                  <c:v>72.887774998160296</c:v>
                </c:pt>
                <c:pt idx="61">
                  <c:v>74.0826565555071</c:v>
                </c:pt>
                <c:pt idx="62">
                  <c:v>75.277538112854003</c:v>
                </c:pt>
                <c:pt idx="63">
                  <c:v>76.472419670200907</c:v>
                </c:pt>
                <c:pt idx="64">
                  <c:v>77.667301227547796</c:v>
                </c:pt>
                <c:pt idx="65">
                  <c:v>78.862182784894699</c:v>
                </c:pt>
                <c:pt idx="66">
                  <c:v>80.057064342241603</c:v>
                </c:pt>
                <c:pt idx="67">
                  <c:v>81.251945899588506</c:v>
                </c:pt>
                <c:pt idx="68">
                  <c:v>82.446827456935395</c:v>
                </c:pt>
                <c:pt idx="69">
                  <c:v>83.641709014282299</c:v>
                </c:pt>
                <c:pt idx="70">
                  <c:v>84.836590571629102</c:v>
                </c:pt>
                <c:pt idx="71">
                  <c:v>86.031472128976006</c:v>
                </c:pt>
                <c:pt idx="72">
                  <c:v>87.226353686322895</c:v>
                </c:pt>
                <c:pt idx="73">
                  <c:v>88.421235243669798</c:v>
                </c:pt>
                <c:pt idx="74">
                  <c:v>89.616116801016702</c:v>
                </c:pt>
                <c:pt idx="75">
                  <c:v>90.810998358363605</c:v>
                </c:pt>
                <c:pt idx="76">
                  <c:v>92.005879915710494</c:v>
                </c:pt>
                <c:pt idx="77">
                  <c:v>93.200761473057398</c:v>
                </c:pt>
                <c:pt idx="78">
                  <c:v>94.395643030404301</c:v>
                </c:pt>
                <c:pt idx="79">
                  <c:v>95.590524587751204</c:v>
                </c:pt>
                <c:pt idx="80">
                  <c:v>96.785406145097994</c:v>
                </c:pt>
                <c:pt idx="81">
                  <c:v>97.980287702444897</c:v>
                </c:pt>
                <c:pt idx="82">
                  <c:v>99.175169259791801</c:v>
                </c:pt>
                <c:pt idx="83">
                  <c:v>100.370050817139</c:v>
                </c:pt>
                <c:pt idx="84">
                  <c:v>101.56493237448601</c:v>
                </c:pt>
                <c:pt idx="85">
                  <c:v>102.759813931832</c:v>
                </c:pt>
                <c:pt idx="86">
                  <c:v>103.954695489179</c:v>
                </c:pt>
                <c:pt idx="87">
                  <c:v>105.14957704652601</c:v>
                </c:pt>
                <c:pt idx="88">
                  <c:v>106.34445860387299</c:v>
                </c:pt>
                <c:pt idx="89">
                  <c:v>107.53934016122</c:v>
                </c:pt>
                <c:pt idx="90">
                  <c:v>108.734221718567</c:v>
                </c:pt>
                <c:pt idx="91">
                  <c:v>109.929103275914</c:v>
                </c:pt>
                <c:pt idx="92">
                  <c:v>111.12398483326101</c:v>
                </c:pt>
                <c:pt idx="93">
                  <c:v>112.31886639060799</c:v>
                </c:pt>
                <c:pt idx="94">
                  <c:v>113.513747947954</c:v>
                </c:pt>
                <c:pt idx="95">
                  <c:v>114.708629505301</c:v>
                </c:pt>
                <c:pt idx="96">
                  <c:v>115.90351106264799</c:v>
                </c:pt>
                <c:pt idx="97">
                  <c:v>117.098392619995</c:v>
                </c:pt>
                <c:pt idx="98">
                  <c:v>118.293274177342</c:v>
                </c:pt>
                <c:pt idx="99">
                  <c:v>119.488155734689</c:v>
                </c:pt>
                <c:pt idx="100">
                  <c:v>120.683037292036</c:v>
                </c:pt>
                <c:pt idx="101">
                  <c:v>121.87791884938299</c:v>
                </c:pt>
                <c:pt idx="102">
                  <c:v>123.07280040673</c:v>
                </c:pt>
                <c:pt idx="103">
                  <c:v>124.267681964077</c:v>
                </c:pt>
                <c:pt idx="104">
                  <c:v>125.46256352142299</c:v>
                </c:pt>
                <c:pt idx="105">
                  <c:v>126.65744507877</c:v>
                </c:pt>
                <c:pt idx="106">
                  <c:v>127.852326636117</c:v>
                </c:pt>
                <c:pt idx="107">
                  <c:v>129.047208193464</c:v>
                </c:pt>
                <c:pt idx="108">
                  <c:v>130.242089750811</c:v>
                </c:pt>
                <c:pt idx="109">
                  <c:v>131.43697130815801</c:v>
                </c:pt>
                <c:pt idx="110">
                  <c:v>132.63185286550501</c:v>
                </c:pt>
                <c:pt idx="111">
                  <c:v>133.82673442285201</c:v>
                </c:pt>
                <c:pt idx="112">
                  <c:v>135.02161598019899</c:v>
                </c:pt>
                <c:pt idx="113">
                  <c:v>136.216497537545</c:v>
                </c:pt>
                <c:pt idx="114">
                  <c:v>137.411379094892</c:v>
                </c:pt>
                <c:pt idx="115">
                  <c:v>138.606260652239</c:v>
                </c:pt>
                <c:pt idx="116">
                  <c:v>139.801142209586</c:v>
                </c:pt>
                <c:pt idx="117">
                  <c:v>140.99602376693301</c:v>
                </c:pt>
                <c:pt idx="118">
                  <c:v>142.19090532428001</c:v>
                </c:pt>
                <c:pt idx="119">
                  <c:v>143.38578688162701</c:v>
                </c:pt>
                <c:pt idx="120">
                  <c:v>144.58066843897399</c:v>
                </c:pt>
                <c:pt idx="121">
                  <c:v>145.77554999632099</c:v>
                </c:pt>
                <c:pt idx="122">
                  <c:v>146.970431553667</c:v>
                </c:pt>
                <c:pt idx="123">
                  <c:v>148.165313111014</c:v>
                </c:pt>
                <c:pt idx="124">
                  <c:v>149.360194668361</c:v>
                </c:pt>
                <c:pt idx="125">
                  <c:v>150.55507622570801</c:v>
                </c:pt>
                <c:pt idx="126">
                  <c:v>151.74995778305501</c:v>
                </c:pt>
                <c:pt idx="127">
                  <c:v>152.94483934040201</c:v>
                </c:pt>
                <c:pt idx="128">
                  <c:v>154.13972089774899</c:v>
                </c:pt>
                <c:pt idx="129">
                  <c:v>155.33460245509599</c:v>
                </c:pt>
                <c:pt idx="130">
                  <c:v>156.52948401244299</c:v>
                </c:pt>
                <c:pt idx="131">
                  <c:v>157.724365569789</c:v>
                </c:pt>
                <c:pt idx="132">
                  <c:v>158.919247127136</c:v>
                </c:pt>
                <c:pt idx="133">
                  <c:v>160.11412868448301</c:v>
                </c:pt>
                <c:pt idx="134">
                  <c:v>161.30901024183001</c:v>
                </c:pt>
                <c:pt idx="135">
                  <c:v>162.50389179917701</c:v>
                </c:pt>
                <c:pt idx="136">
                  <c:v>163.69877335652399</c:v>
                </c:pt>
                <c:pt idx="137">
                  <c:v>164.89365491387099</c:v>
                </c:pt>
                <c:pt idx="138">
                  <c:v>166.08853647121799</c:v>
                </c:pt>
                <c:pt idx="139">
                  <c:v>167.28341802856499</c:v>
                </c:pt>
                <c:pt idx="140">
                  <c:v>168.478299585911</c:v>
                </c:pt>
                <c:pt idx="141">
                  <c:v>169.67318114325801</c:v>
                </c:pt>
                <c:pt idx="142">
                  <c:v>170.86806270060501</c:v>
                </c:pt>
                <c:pt idx="143">
                  <c:v>172.06294425795201</c:v>
                </c:pt>
                <c:pt idx="144">
                  <c:v>173.25782581529899</c:v>
                </c:pt>
                <c:pt idx="145">
                  <c:v>174.45270737264599</c:v>
                </c:pt>
                <c:pt idx="146">
                  <c:v>175.64758892999299</c:v>
                </c:pt>
                <c:pt idx="147">
                  <c:v>176.84247048733999</c:v>
                </c:pt>
                <c:pt idx="148">
                  <c:v>178.037352044687</c:v>
                </c:pt>
                <c:pt idx="149">
                  <c:v>179.23223360203301</c:v>
                </c:pt>
                <c:pt idx="150">
                  <c:v>180.42711515938001</c:v>
                </c:pt>
                <c:pt idx="151">
                  <c:v>181.62199671672701</c:v>
                </c:pt>
                <c:pt idx="152">
                  <c:v>182.81687827407401</c:v>
                </c:pt>
                <c:pt idx="153">
                  <c:v>184.01175983142099</c:v>
                </c:pt>
                <c:pt idx="154">
                  <c:v>185.20664138876799</c:v>
                </c:pt>
                <c:pt idx="155">
                  <c:v>186.40152294611499</c:v>
                </c:pt>
                <c:pt idx="156">
                  <c:v>187.596404503462</c:v>
                </c:pt>
                <c:pt idx="157">
                  <c:v>188.791286060809</c:v>
                </c:pt>
                <c:pt idx="158">
                  <c:v>189.98616761815501</c:v>
                </c:pt>
                <c:pt idx="159">
                  <c:v>191.18104917550201</c:v>
                </c:pt>
                <c:pt idx="160">
                  <c:v>192.37593073284901</c:v>
                </c:pt>
                <c:pt idx="161">
                  <c:v>193.57081229019599</c:v>
                </c:pt>
                <c:pt idx="162">
                  <c:v>194.76569384754299</c:v>
                </c:pt>
                <c:pt idx="163">
                  <c:v>195.96057540488999</c:v>
                </c:pt>
                <c:pt idx="164">
                  <c:v>197.155456962237</c:v>
                </c:pt>
                <c:pt idx="165">
                  <c:v>198.350338519584</c:v>
                </c:pt>
                <c:pt idx="166">
                  <c:v>199.545220076931</c:v>
                </c:pt>
                <c:pt idx="167">
                  <c:v>200.74010163427701</c:v>
                </c:pt>
                <c:pt idx="168">
                  <c:v>201.93498319162401</c:v>
                </c:pt>
                <c:pt idx="169">
                  <c:v>203.12986474897099</c:v>
                </c:pt>
                <c:pt idx="170">
                  <c:v>204.32474630631799</c:v>
                </c:pt>
                <c:pt idx="171">
                  <c:v>205.51962786366499</c:v>
                </c:pt>
                <c:pt idx="172">
                  <c:v>206.714509421012</c:v>
                </c:pt>
                <c:pt idx="173">
                  <c:v>207.909390978359</c:v>
                </c:pt>
                <c:pt idx="174">
                  <c:v>209.104272535706</c:v>
                </c:pt>
                <c:pt idx="175">
                  <c:v>210.299154093053</c:v>
                </c:pt>
                <c:pt idx="176">
                  <c:v>211.49403565039901</c:v>
                </c:pt>
                <c:pt idx="177">
                  <c:v>212.68891720774599</c:v>
                </c:pt>
                <c:pt idx="178">
                  <c:v>213.88379876509299</c:v>
                </c:pt>
                <c:pt idx="179">
                  <c:v>215.07868032243999</c:v>
                </c:pt>
                <c:pt idx="180">
                  <c:v>216.273561879787</c:v>
                </c:pt>
                <c:pt idx="181">
                  <c:v>217.468443437134</c:v>
                </c:pt>
                <c:pt idx="182">
                  <c:v>218.663324994481</c:v>
                </c:pt>
                <c:pt idx="183">
                  <c:v>219.858206551828</c:v>
                </c:pt>
                <c:pt idx="184">
                  <c:v>221.05308810917501</c:v>
                </c:pt>
                <c:pt idx="185">
                  <c:v>222.24796966652099</c:v>
                </c:pt>
                <c:pt idx="186">
                  <c:v>223.44285122386799</c:v>
                </c:pt>
                <c:pt idx="187">
                  <c:v>224.63773278121499</c:v>
                </c:pt>
                <c:pt idx="188">
                  <c:v>225.832614338562</c:v>
                </c:pt>
                <c:pt idx="189">
                  <c:v>227.027495895909</c:v>
                </c:pt>
                <c:pt idx="190">
                  <c:v>228.222377453256</c:v>
                </c:pt>
                <c:pt idx="191">
                  <c:v>229.417259010603</c:v>
                </c:pt>
                <c:pt idx="192">
                  <c:v>230.61214056795001</c:v>
                </c:pt>
                <c:pt idx="193">
                  <c:v>231.80702212529701</c:v>
                </c:pt>
                <c:pt idx="194">
                  <c:v>233.00190368264299</c:v>
                </c:pt>
                <c:pt idx="195">
                  <c:v>234.19678523998999</c:v>
                </c:pt>
                <c:pt idx="196">
                  <c:v>235.391666797337</c:v>
                </c:pt>
                <c:pt idx="197">
                  <c:v>236.586548354684</c:v>
                </c:pt>
                <c:pt idx="198">
                  <c:v>237.781429912031</c:v>
                </c:pt>
              </c:numCache>
            </c:numRef>
          </c:xVal>
          <c:yVal>
            <c:numRef>
              <c:f>Health!$N$17:$N$215</c:f>
              <c:numCache>
                <c:formatCode>General</c:formatCode>
                <c:ptCount val="199"/>
                <c:pt idx="0">
                  <c:v>2.174777788319299E-5</c:v>
                </c:pt>
                <c:pt idx="1">
                  <c:v>4.3235403098061076E-5</c:v>
                </c:pt>
                <c:pt idx="2">
                  <c:v>6.4494035409540354E-5</c:v>
                </c:pt>
                <c:pt idx="3">
                  <c:v>8.5554834582566523E-5</c:v>
                </c:pt>
                <c:pt idx="4">
                  <c:v>1.0644896038207567E-4</c:v>
                </c:pt>
                <c:pt idx="5">
                  <c:v>1.2720757257300374E-4</c:v>
                </c:pt>
                <c:pt idx="6">
                  <c:v>1.4786183092028649E-4</c:v>
                </c:pt>
                <c:pt idx="7">
                  <c:v>1.6844289518885995E-4</c:v>
                </c:pt>
                <c:pt idx="8">
                  <c:v>1.8898192514366004E-4</c:v>
                </c:pt>
                <c:pt idx="9">
                  <c:v>2.0951008054962284E-4</c:v>
                </c:pt>
                <c:pt idx="10">
                  <c:v>2.3005852117168396E-4</c:v>
                </c:pt>
                <c:pt idx="11">
                  <c:v>2.5065840677477934E-4</c:v>
                </c:pt>
                <c:pt idx="12">
                  <c:v>2.7134089712384533E-4</c:v>
                </c:pt>
                <c:pt idx="13">
                  <c:v>2.9213715198381793E-4</c:v>
                </c:pt>
                <c:pt idx="14">
                  <c:v>3.1307833111963247E-4</c:v>
                </c:pt>
                <c:pt idx="15">
                  <c:v>3.3419559429622423E-4</c:v>
                </c:pt>
                <c:pt idx="16">
                  <c:v>3.5552010127853125E-4</c:v>
                </c:pt>
                <c:pt idx="17">
                  <c:v>3.770830118314867E-4</c:v>
                </c:pt>
                <c:pt idx="18">
                  <c:v>3.9891548572002899E-4</c:v>
                </c:pt>
                <c:pt idx="19">
                  <c:v>4.2104868270909367E-4</c:v>
                </c:pt>
                <c:pt idx="20">
                  <c:v>4.4351376256361564E-4</c:v>
                </c:pt>
                <c:pt idx="21">
                  <c:v>4.6634188504853137E-4</c:v>
                </c:pt>
                <c:pt idx="22">
                  <c:v>4.8956420992877559E-4</c:v>
                </c:pt>
                <c:pt idx="23">
                  <c:v>5.1321189696928624E-4</c:v>
                </c:pt>
                <c:pt idx="24">
                  <c:v>5.373161059349993E-4</c:v>
                </c:pt>
                <c:pt idx="25">
                  <c:v>5.6190799659084777E-4</c:v>
                </c:pt>
                <c:pt idx="26">
                  <c:v>5.8701872870177104E-4</c:v>
                </c:pt>
                <c:pt idx="27">
                  <c:v>6.1267946203270342E-4</c:v>
                </c:pt>
                <c:pt idx="28">
                  <c:v>6.4209056026016508E-4</c:v>
                </c:pt>
                <c:pt idx="29">
                  <c:v>6.7324331745359186E-4</c:v>
                </c:pt>
                <c:pt idx="30">
                  <c:v>7.0513215674735058E-4</c:v>
                </c:pt>
                <c:pt idx="31">
                  <c:v>7.3794508385239752E-4</c:v>
                </c:pt>
                <c:pt idx="32">
                  <c:v>7.7159549451321393E-4</c:v>
                </c:pt>
                <c:pt idx="33">
                  <c:v>8.0600355804799617E-4</c:v>
                </c:pt>
                <c:pt idx="34">
                  <c:v>8.4109849148367351E-4</c:v>
                </c:pt>
                <c:pt idx="35">
                  <c:v>8.7680979243708393E-4</c:v>
                </c:pt>
                <c:pt idx="36">
                  <c:v>9.1305460444414096E-4</c:v>
                </c:pt>
                <c:pt idx="37">
                  <c:v>9.4975992792125578E-4</c:v>
                </c:pt>
                <c:pt idx="38">
                  <c:v>9.8686235522732284E-4</c:v>
                </c:pt>
                <c:pt idx="39">
                  <c:v>1.0242998166820549E-3</c:v>
                </c:pt>
                <c:pt idx="40">
                  <c:v>1.0620014305302657E-3</c:v>
                </c:pt>
                <c:pt idx="41">
                  <c:v>1.099907397411013E-3</c:v>
                </c:pt>
                <c:pt idx="42">
                  <c:v>1.1379663501487427E-3</c:v>
                </c:pt>
                <c:pt idx="43">
                  <c:v>1.1761286919539189E-3</c:v>
                </c:pt>
                <c:pt idx="44">
                  <c:v>1.2143398218707076E-3</c:v>
                </c:pt>
                <c:pt idx="45">
                  <c:v>1.2525547284892341E-3</c:v>
                </c:pt>
                <c:pt idx="46">
                  <c:v>1.2907356263386727E-3</c:v>
                </c:pt>
                <c:pt idx="47">
                  <c:v>1.3288466567243297E-3</c:v>
                </c:pt>
                <c:pt idx="48">
                  <c:v>1.3668483734969115E-3</c:v>
                </c:pt>
                <c:pt idx="49">
                  <c:v>1.4047102788769766E-3</c:v>
                </c:pt>
                <c:pt idx="50">
                  <c:v>1.4424067113962226E-3</c:v>
                </c:pt>
                <c:pt idx="51">
                  <c:v>1.4799135443590704E-3</c:v>
                </c:pt>
                <c:pt idx="52">
                  <c:v>1.5172059086538919E-3</c:v>
                </c:pt>
                <c:pt idx="53">
                  <c:v>1.5542633800237023E-3</c:v>
                </c:pt>
                <c:pt idx="54">
                  <c:v>1.5910691743257674E-3</c:v>
                </c:pt>
                <c:pt idx="55">
                  <c:v>1.6276077514659367E-3</c:v>
                </c:pt>
                <c:pt idx="56">
                  <c:v>1.663863139367075E-3</c:v>
                </c:pt>
                <c:pt idx="57">
                  <c:v>1.6998235036249081E-3</c:v>
                </c:pt>
                <c:pt idx="58">
                  <c:v>1.7354791101059355E-3</c:v>
                </c:pt>
                <c:pt idx="59">
                  <c:v>1.7708210106221975E-3</c:v>
                </c:pt>
                <c:pt idx="60">
                  <c:v>1.8058394188429946E-3</c:v>
                </c:pt>
                <c:pt idx="61">
                  <c:v>1.8405274456545649E-3</c:v>
                </c:pt>
                <c:pt idx="62">
                  <c:v>1.8748793835295242E-3</c:v>
                </c:pt>
                <c:pt idx="63">
                  <c:v>1.9088900228498593E-3</c:v>
                </c:pt>
                <c:pt idx="64">
                  <c:v>1.9425544158062638E-3</c:v>
                </c:pt>
                <c:pt idx="65">
                  <c:v>1.9758690099810914E-3</c:v>
                </c:pt>
                <c:pt idx="66">
                  <c:v>2.0088307481231035E-3</c:v>
                </c:pt>
                <c:pt idx="67">
                  <c:v>2.0414367681067039E-3</c:v>
                </c:pt>
                <c:pt idx="68">
                  <c:v>2.0736845965972396E-3</c:v>
                </c:pt>
                <c:pt idx="69">
                  <c:v>2.1055727769337309E-3</c:v>
                </c:pt>
                <c:pt idx="70">
                  <c:v>2.1371000228166564E-3</c:v>
                </c:pt>
                <c:pt idx="71">
                  <c:v>2.1682651433970316E-3</c:v>
                </c:pt>
                <c:pt idx="72">
                  <c:v>2.1990678596527278E-3</c:v>
                </c:pt>
                <c:pt idx="73">
                  <c:v>2.2295076161562145E-3</c:v>
                </c:pt>
                <c:pt idx="74">
                  <c:v>2.2595842999424518E-3</c:v>
                </c:pt>
                <c:pt idx="75">
                  <c:v>2.2892981023242042E-3</c:v>
                </c:pt>
                <c:pt idx="76">
                  <c:v>2.3186496459602331E-3</c:v>
                </c:pt>
                <c:pt idx="77">
                  <c:v>2.3476398297825043E-3</c:v>
                </c:pt>
                <c:pt idx="78">
                  <c:v>2.3762696963771594E-3</c:v>
                </c:pt>
                <c:pt idx="79">
                  <c:v>2.4045404966409165E-3</c:v>
                </c:pt>
                <c:pt idx="80">
                  <c:v>2.4324541687211505E-3</c:v>
                </c:pt>
                <c:pt idx="81">
                  <c:v>2.4600126734944886E-3</c:v>
                </c:pt>
                <c:pt idx="82">
                  <c:v>2.487218095660818E-3</c:v>
                </c:pt>
                <c:pt idx="83">
                  <c:v>2.5140727920548731E-3</c:v>
                </c:pt>
                <c:pt idx="84">
                  <c:v>2.5405800748914587E-3</c:v>
                </c:pt>
                <c:pt idx="85">
                  <c:v>2.5667431232351506E-3</c:v>
                </c:pt>
                <c:pt idx="86">
                  <c:v>2.5925652013516574E-3</c:v>
                </c:pt>
                <c:pt idx="87">
                  <c:v>2.618049912484433E-3</c:v>
                </c:pt>
                <c:pt idx="88">
                  <c:v>2.643202052074441E-3</c:v>
                </c:pt>
                <c:pt idx="89">
                  <c:v>2.6680261165464604E-3</c:v>
                </c:pt>
                <c:pt idx="90">
                  <c:v>2.6925266135820075E-3</c:v>
                </c:pt>
                <c:pt idx="91">
                  <c:v>2.716708432318778E-3</c:v>
                </c:pt>
                <c:pt idx="92">
                  <c:v>2.7405779412241361E-3</c:v>
                </c:pt>
                <c:pt idx="93">
                  <c:v>2.7641409121608148E-3</c:v>
                </c:pt>
                <c:pt idx="94">
                  <c:v>2.787403059817296E-3</c:v>
                </c:pt>
                <c:pt idx="95">
                  <c:v>2.8103705204722451E-3</c:v>
                </c:pt>
                <c:pt idx="96">
                  <c:v>2.833051069581346E-3</c:v>
                </c:pt>
                <c:pt idx="97">
                  <c:v>2.8554515736282284E-3</c:v>
                </c:pt>
                <c:pt idx="98">
                  <c:v>2.8775787587825069E-3</c:v>
                </c:pt>
                <c:pt idx="99">
                  <c:v>2.8994397819108878E-3</c:v>
                </c:pt>
                <c:pt idx="100">
                  <c:v>2.9210434883558383E-3</c:v>
                </c:pt>
                <c:pt idx="101">
                  <c:v>2.9423974906752446E-3</c:v>
                </c:pt>
                <c:pt idx="102">
                  <c:v>2.9635091818103988E-3</c:v>
                </c:pt>
                <c:pt idx="103">
                  <c:v>2.9843863660359619E-3</c:v>
                </c:pt>
                <c:pt idx="104">
                  <c:v>3.005038474335457E-3</c:v>
                </c:pt>
                <c:pt idx="105">
                  <c:v>3.0254734252136263E-3</c:v>
                </c:pt>
                <c:pt idx="106">
                  <c:v>3.0456988486640222E-3</c:v>
                </c:pt>
                <c:pt idx="107">
                  <c:v>3.0657227377704024E-3</c:v>
                </c:pt>
                <c:pt idx="108">
                  <c:v>3.0855545307376087E-3</c:v>
                </c:pt>
                <c:pt idx="109">
                  <c:v>3.1052019761596598E-3</c:v>
                </c:pt>
                <c:pt idx="110">
                  <c:v>3.1246724849003931E-3</c:v>
                </c:pt>
                <c:pt idx="111">
                  <c:v>3.1439737612695353E-3</c:v>
                </c:pt>
                <c:pt idx="112">
                  <c:v>3.1631146776001534E-3</c:v>
                </c:pt>
                <c:pt idx="113">
                  <c:v>3.1821023645129802E-3</c:v>
                </c:pt>
                <c:pt idx="114">
                  <c:v>3.2009435857366327E-3</c:v>
                </c:pt>
                <c:pt idx="115">
                  <c:v>3.2196453085049557E-3</c:v>
                </c:pt>
                <c:pt idx="116">
                  <c:v>3.2382153581243431E-3</c:v>
                </c:pt>
                <c:pt idx="117">
                  <c:v>3.2566598782281186E-3</c:v>
                </c:pt>
                <c:pt idx="118">
                  <c:v>3.2749846525076004E-3</c:v>
                </c:pt>
                <c:pt idx="119">
                  <c:v>3.2931955864615005E-3</c:v>
                </c:pt>
                <c:pt idx="120">
                  <c:v>3.3112991271180506E-3</c:v>
                </c:pt>
                <c:pt idx="121">
                  <c:v>3.3293002329150036E-3</c:v>
                </c:pt>
                <c:pt idx="122">
                  <c:v>3.3472035360989291E-3</c:v>
                </c:pt>
                <c:pt idx="123">
                  <c:v>3.3650137205358012E-3</c:v>
                </c:pt>
                <c:pt idx="124">
                  <c:v>3.3827357710956452E-3</c:v>
                </c:pt>
                <c:pt idx="125">
                  <c:v>3.4003734560544441E-3</c:v>
                </c:pt>
                <c:pt idx="126">
                  <c:v>3.4179302776550886E-3</c:v>
                </c:pt>
                <c:pt idx="127">
                  <c:v>3.4354097514871611E-3</c:v>
                </c:pt>
                <c:pt idx="128">
                  <c:v>3.4528155543632959E-3</c:v>
                </c:pt>
                <c:pt idx="129">
                  <c:v>3.4701504456647698E-3</c:v>
                </c:pt>
                <c:pt idx="130">
                  <c:v>3.4874169928732295E-3</c:v>
                </c:pt>
                <c:pt idx="131">
                  <c:v>3.5046177753864233E-3</c:v>
                </c:pt>
                <c:pt idx="132">
                  <c:v>3.5217554853501191E-3</c:v>
                </c:pt>
                <c:pt idx="133">
                  <c:v>3.5388321621486057E-3</c:v>
                </c:pt>
                <c:pt idx="134">
                  <c:v>3.5558497231959864E-3</c:v>
                </c:pt>
                <c:pt idx="135">
                  <c:v>3.5728101214296025E-3</c:v>
                </c:pt>
                <c:pt idx="136">
                  <c:v>3.5897154294070037E-3</c:v>
                </c:pt>
                <c:pt idx="137">
                  <c:v>3.6065672586274083E-3</c:v>
                </c:pt>
                <c:pt idx="138">
                  <c:v>3.6233671504199956E-3</c:v>
                </c:pt>
                <c:pt idx="139">
                  <c:v>3.6401167059220375E-3</c:v>
                </c:pt>
                <c:pt idx="140">
                  <c:v>3.6568177564401082E-3</c:v>
                </c:pt>
                <c:pt idx="141">
                  <c:v>3.6734716823044002E-3</c:v>
                </c:pt>
                <c:pt idx="142">
                  <c:v>3.6900798290950988E-3</c:v>
                </c:pt>
                <c:pt idx="143">
                  <c:v>3.7066436450029334E-3</c:v>
                </c:pt>
                <c:pt idx="144">
                  <c:v>3.7231647561068518E-3</c:v>
                </c:pt>
                <c:pt idx="145">
                  <c:v>3.739644460014901E-3</c:v>
                </c:pt>
                <c:pt idx="146">
                  <c:v>3.7560840574089238E-3</c:v>
                </c:pt>
                <c:pt idx="147">
                  <c:v>3.7724850265135382E-3</c:v>
                </c:pt>
                <c:pt idx="148">
                  <c:v>3.7888487851135372E-3</c:v>
                </c:pt>
                <c:pt idx="149">
                  <c:v>3.8051765871853081E-3</c:v>
                </c:pt>
                <c:pt idx="150">
                  <c:v>3.8214696746093832E-3</c:v>
                </c:pt>
                <c:pt idx="151">
                  <c:v>3.8377293973464628E-3</c:v>
                </c:pt>
                <c:pt idx="152">
                  <c:v>3.8539573112280593E-3</c:v>
                </c:pt>
                <c:pt idx="153">
                  <c:v>3.8701545289604265E-3</c:v>
                </c:pt>
                <c:pt idx="154">
                  <c:v>3.8863221535854484E-3</c:v>
                </c:pt>
                <c:pt idx="155">
                  <c:v>3.9024614373859424E-3</c:v>
                </c:pt>
                <c:pt idx="156">
                  <c:v>3.9185737111476285E-3</c:v>
                </c:pt>
                <c:pt idx="157">
                  <c:v>3.9346600654041721E-3</c:v>
                </c:pt>
                <c:pt idx="158">
                  <c:v>3.9507215333573799E-3</c:v>
                </c:pt>
                <c:pt idx="159">
                  <c:v>3.9667591525881854E-3</c:v>
                </c:pt>
                <c:pt idx="160">
                  <c:v>3.9827740582269993E-3</c:v>
                </c:pt>
                <c:pt idx="161">
                  <c:v>3.9987671306501342E-3</c:v>
                </c:pt>
                <c:pt idx="162">
                  <c:v>4.0147392162251053E-3</c:v>
                </c:pt>
                <c:pt idx="163">
                  <c:v>4.0306911948712028E-3</c:v>
                </c:pt>
                <c:pt idx="164">
                  <c:v>4.0466241743376506E-3</c:v>
                </c:pt>
                <c:pt idx="165">
                  <c:v>4.0625388013308689E-3</c:v>
                </c:pt>
                <c:pt idx="166">
                  <c:v>4.0784356594109816E-3</c:v>
                </c:pt>
                <c:pt idx="167">
                  <c:v>4.0943153262021879E-3</c:v>
                </c:pt>
                <c:pt idx="168">
                  <c:v>4.1101785649861481E-3</c:v>
                </c:pt>
                <c:pt idx="169">
                  <c:v>4.1260257304929562E-3</c:v>
                </c:pt>
                <c:pt idx="170">
                  <c:v>4.1418571704787029E-3</c:v>
                </c:pt>
                <c:pt idx="171">
                  <c:v>4.1576733562346127E-3</c:v>
                </c:pt>
                <c:pt idx="172">
                  <c:v>4.1734749012101542E-3</c:v>
                </c:pt>
                <c:pt idx="173">
                  <c:v>4.1892621074026016E-3</c:v>
                </c:pt>
                <c:pt idx="174">
                  <c:v>4.2050351770760736E-3</c:v>
                </c:pt>
                <c:pt idx="175">
                  <c:v>4.2207941265894767E-3</c:v>
                </c:pt>
                <c:pt idx="176">
                  <c:v>4.2365391957586368E-3</c:v>
                </c:pt>
                <c:pt idx="177">
                  <c:v>4.2522705236914026E-3</c:v>
                </c:pt>
                <c:pt idx="178">
                  <c:v>4.2679882298605528E-3</c:v>
                </c:pt>
                <c:pt idx="179">
                  <c:v>4.2836924056671522E-3</c:v>
                </c:pt>
                <c:pt idx="180">
                  <c:v>4.2993832307452098E-3</c:v>
                </c:pt>
                <c:pt idx="181">
                  <c:v>4.3150608230593732E-3</c:v>
                </c:pt>
                <c:pt idx="182">
                  <c:v>4.3307252421293648E-3</c:v>
                </c:pt>
                <c:pt idx="183">
                  <c:v>4.3463763716084097E-3</c:v>
                </c:pt>
                <c:pt idx="184">
                  <c:v>4.3620141952762136E-3</c:v>
                </c:pt>
                <c:pt idx="185">
                  <c:v>4.3776387963624522E-3</c:v>
                </c:pt>
                <c:pt idx="186">
                  <c:v>4.3932502034094252E-3</c:v>
                </c:pt>
                <c:pt idx="187">
                  <c:v>4.408848160416692E-3</c:v>
                </c:pt>
                <c:pt idx="188">
                  <c:v>4.4244326517547195E-3</c:v>
                </c:pt>
                <c:pt idx="189">
                  <c:v>4.4400036673400058E-3</c:v>
                </c:pt>
                <c:pt idx="190">
                  <c:v>4.4555611907680891E-3</c:v>
                </c:pt>
                <c:pt idx="191">
                  <c:v>4.4711051747422714E-3</c:v>
                </c:pt>
                <c:pt idx="192">
                  <c:v>4.4866354218658878E-3</c:v>
                </c:pt>
                <c:pt idx="193">
                  <c:v>4.5021519160029066E-3</c:v>
                </c:pt>
                <c:pt idx="194">
                  <c:v>4.517654695711251E-3</c:v>
                </c:pt>
                <c:pt idx="195">
                  <c:v>4.5331439347170693E-3</c:v>
                </c:pt>
                <c:pt idx="196">
                  <c:v>4.5486194162444689E-3</c:v>
                </c:pt>
                <c:pt idx="197">
                  <c:v>4.564080573443618E-3</c:v>
                </c:pt>
                <c:pt idx="198">
                  <c:v>4.5795291803121235E-3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64-474D-A6EB-239F5D676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923775"/>
        <c:axId val="621683599"/>
      </c:scatterChart>
      <c:valAx>
        <c:axId val="603923775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ptos Light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Red meat intake [g/d]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Light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621683599"/>
        <c:crosses val="autoZero"/>
        <c:crossBetween val="midCat"/>
      </c:valAx>
      <c:valAx>
        <c:axId val="621683599"/>
        <c:scaling>
          <c:orientation val="minMax"/>
          <c:max val="4.0000000000000001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ptos Light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DALYs/capita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Light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60392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.10617579908675798"/>
          <c:y val="0.86592090793120136"/>
          <c:w val="0.84910197869101989"/>
          <c:h val="0.120112611621871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ptos Light" panose="020B00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>
          <a:solidFill>
            <a:schemeClr val="tx1"/>
          </a:solidFill>
          <a:latin typeface="Aptos Light" panose="020B00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Health!$M$15</c:f>
              <c:strCache>
                <c:ptCount val="1"/>
                <c:pt idx="0">
                  <c:v>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rgbClr val="215C98"/>
                </a:solidFill>
                <a:prstDash val="solid"/>
              </a:ln>
              <a:effectLst/>
            </c:spPr>
          </c:marker>
          <c:trendline>
            <c:name>-3E-14x⁵ + 3E   -11x⁴ - 7E -09x³ + 7E  -07x² + 9E  -06x ; R²=0,9998         </c:name>
            <c:spPr>
              <a:ln w="9525" cap="rnd">
                <a:solidFill>
                  <a:srgbClr val="A6C9EC"/>
                </a:solidFill>
                <a:prstDash val="solid"/>
              </a:ln>
              <a:effectLst/>
            </c:spPr>
            <c:trendlineType val="poly"/>
            <c:order val="5"/>
            <c:forward val="30"/>
            <c:backward val="30"/>
            <c:intercept val="0"/>
            <c:dispRSqr val="0"/>
            <c:dispEq val="0"/>
          </c:trendline>
          <c:xVal>
            <c:numRef>
              <c:f>Health!$L$17:$L$215</c:f>
              <c:numCache>
                <c:formatCode>General</c:formatCode>
                <c:ptCount val="199"/>
                <c:pt idx="0">
                  <c:v>1.1948815573468901</c:v>
                </c:pt>
                <c:pt idx="1">
                  <c:v>2.3897631146937801</c:v>
                </c:pt>
                <c:pt idx="2">
                  <c:v>3.5846446720406702</c:v>
                </c:pt>
                <c:pt idx="3">
                  <c:v>4.7795262293875602</c:v>
                </c:pt>
                <c:pt idx="4">
                  <c:v>5.9744077867344503</c:v>
                </c:pt>
                <c:pt idx="5">
                  <c:v>7.1692893440813403</c:v>
                </c:pt>
                <c:pt idx="6">
                  <c:v>8.3641709014282295</c:v>
                </c:pt>
                <c:pt idx="7">
                  <c:v>9.5590524587751204</c:v>
                </c:pt>
                <c:pt idx="8">
                  <c:v>10.753934016122001</c:v>
                </c:pt>
                <c:pt idx="9">
                  <c:v>11.948815573468901</c:v>
                </c:pt>
                <c:pt idx="10">
                  <c:v>13.1436971308158</c:v>
                </c:pt>
                <c:pt idx="11">
                  <c:v>14.3385786881627</c:v>
                </c:pt>
                <c:pt idx="12">
                  <c:v>15.5334602455096</c:v>
                </c:pt>
                <c:pt idx="13">
                  <c:v>16.728341802856502</c:v>
                </c:pt>
                <c:pt idx="14">
                  <c:v>17.923223360203298</c:v>
                </c:pt>
                <c:pt idx="15">
                  <c:v>19.118104917550198</c:v>
                </c:pt>
                <c:pt idx="16">
                  <c:v>20.312986474897102</c:v>
                </c:pt>
                <c:pt idx="17">
                  <c:v>21.507868032244001</c:v>
                </c:pt>
                <c:pt idx="18">
                  <c:v>22.702749589590901</c:v>
                </c:pt>
                <c:pt idx="19">
                  <c:v>23.897631146937801</c:v>
                </c:pt>
                <c:pt idx="20">
                  <c:v>25.092512704284701</c:v>
                </c:pt>
                <c:pt idx="21">
                  <c:v>26.287394261631601</c:v>
                </c:pt>
                <c:pt idx="22">
                  <c:v>27.482275818978501</c:v>
                </c:pt>
                <c:pt idx="23">
                  <c:v>28.677157376325301</c:v>
                </c:pt>
                <c:pt idx="24">
                  <c:v>29.872038933672201</c:v>
                </c:pt>
                <c:pt idx="25">
                  <c:v>31.066920491019101</c:v>
                </c:pt>
                <c:pt idx="26">
                  <c:v>32.261802048366</c:v>
                </c:pt>
                <c:pt idx="27">
                  <c:v>33.456683605712897</c:v>
                </c:pt>
                <c:pt idx="28">
                  <c:v>34.6515651630598</c:v>
                </c:pt>
                <c:pt idx="29">
                  <c:v>35.846446720406703</c:v>
                </c:pt>
                <c:pt idx="30">
                  <c:v>37.0413282777536</c:v>
                </c:pt>
                <c:pt idx="31">
                  <c:v>38.236209835100503</c:v>
                </c:pt>
                <c:pt idx="32">
                  <c:v>39.4310913924473</c:v>
                </c:pt>
                <c:pt idx="33">
                  <c:v>40.625972949794203</c:v>
                </c:pt>
                <c:pt idx="34">
                  <c:v>41.8208545071411</c:v>
                </c:pt>
                <c:pt idx="35">
                  <c:v>43.015736064488003</c:v>
                </c:pt>
                <c:pt idx="36">
                  <c:v>44.210617621834899</c:v>
                </c:pt>
                <c:pt idx="37">
                  <c:v>45.405499179181803</c:v>
                </c:pt>
                <c:pt idx="38">
                  <c:v>46.600380736528699</c:v>
                </c:pt>
                <c:pt idx="39">
                  <c:v>47.795262293875602</c:v>
                </c:pt>
                <c:pt idx="40">
                  <c:v>48.990143851222498</c:v>
                </c:pt>
                <c:pt idx="41">
                  <c:v>50.185025408569402</c:v>
                </c:pt>
                <c:pt idx="42">
                  <c:v>51.379906965916199</c:v>
                </c:pt>
                <c:pt idx="43">
                  <c:v>52.574788523263102</c:v>
                </c:pt>
                <c:pt idx="44">
                  <c:v>53.769670080609998</c:v>
                </c:pt>
                <c:pt idx="45">
                  <c:v>54.964551637956902</c:v>
                </c:pt>
                <c:pt idx="46">
                  <c:v>56.159433195303798</c:v>
                </c:pt>
                <c:pt idx="47">
                  <c:v>57.354314752650701</c:v>
                </c:pt>
                <c:pt idx="48">
                  <c:v>58.549196309997598</c:v>
                </c:pt>
                <c:pt idx="49">
                  <c:v>59.744077867344501</c:v>
                </c:pt>
                <c:pt idx="50">
                  <c:v>60.938959424691397</c:v>
                </c:pt>
                <c:pt idx="51">
                  <c:v>62.133840982038301</c:v>
                </c:pt>
                <c:pt idx="52">
                  <c:v>63.328722539385097</c:v>
                </c:pt>
                <c:pt idx="53">
                  <c:v>64.523604096732001</c:v>
                </c:pt>
                <c:pt idx="54">
                  <c:v>65.718485654078904</c:v>
                </c:pt>
                <c:pt idx="55">
                  <c:v>66.913367211425793</c:v>
                </c:pt>
                <c:pt idx="56">
                  <c:v>68.108248768772697</c:v>
                </c:pt>
                <c:pt idx="57">
                  <c:v>69.3031303261196</c:v>
                </c:pt>
                <c:pt idx="58">
                  <c:v>70.498011883466503</c:v>
                </c:pt>
                <c:pt idx="59">
                  <c:v>71.692893440813407</c:v>
                </c:pt>
                <c:pt idx="60">
                  <c:v>72.887774998160296</c:v>
                </c:pt>
                <c:pt idx="61">
                  <c:v>74.0826565555071</c:v>
                </c:pt>
                <c:pt idx="62">
                  <c:v>75.277538112854003</c:v>
                </c:pt>
                <c:pt idx="63">
                  <c:v>76.472419670200907</c:v>
                </c:pt>
                <c:pt idx="64">
                  <c:v>77.667301227547796</c:v>
                </c:pt>
                <c:pt idx="65">
                  <c:v>78.862182784894699</c:v>
                </c:pt>
                <c:pt idx="66">
                  <c:v>80.057064342241603</c:v>
                </c:pt>
                <c:pt idx="67">
                  <c:v>81.251945899588506</c:v>
                </c:pt>
                <c:pt idx="68">
                  <c:v>82.446827456935395</c:v>
                </c:pt>
                <c:pt idx="69">
                  <c:v>83.641709014282299</c:v>
                </c:pt>
                <c:pt idx="70">
                  <c:v>84.836590571629102</c:v>
                </c:pt>
                <c:pt idx="71">
                  <c:v>86.031472128976006</c:v>
                </c:pt>
                <c:pt idx="72">
                  <c:v>87.226353686322895</c:v>
                </c:pt>
                <c:pt idx="73">
                  <c:v>88.421235243669798</c:v>
                </c:pt>
                <c:pt idx="74">
                  <c:v>89.616116801016702</c:v>
                </c:pt>
                <c:pt idx="75">
                  <c:v>90.810998358363605</c:v>
                </c:pt>
                <c:pt idx="76">
                  <c:v>92.005879915710494</c:v>
                </c:pt>
                <c:pt idx="77">
                  <c:v>93.200761473057398</c:v>
                </c:pt>
                <c:pt idx="78">
                  <c:v>94.395643030404301</c:v>
                </c:pt>
                <c:pt idx="79">
                  <c:v>95.590524587751204</c:v>
                </c:pt>
                <c:pt idx="80">
                  <c:v>96.785406145097994</c:v>
                </c:pt>
                <c:pt idx="81">
                  <c:v>97.980287702444897</c:v>
                </c:pt>
                <c:pt idx="82">
                  <c:v>99.175169259791801</c:v>
                </c:pt>
                <c:pt idx="83">
                  <c:v>100.370050817139</c:v>
                </c:pt>
                <c:pt idx="84">
                  <c:v>101.56493237448601</c:v>
                </c:pt>
                <c:pt idx="85">
                  <c:v>102.759813931832</c:v>
                </c:pt>
                <c:pt idx="86">
                  <c:v>103.954695489179</c:v>
                </c:pt>
                <c:pt idx="87">
                  <c:v>105.14957704652601</c:v>
                </c:pt>
                <c:pt idx="88">
                  <c:v>106.34445860387299</c:v>
                </c:pt>
                <c:pt idx="89">
                  <c:v>107.53934016122</c:v>
                </c:pt>
                <c:pt idx="90">
                  <c:v>108.734221718567</c:v>
                </c:pt>
                <c:pt idx="91">
                  <c:v>109.929103275914</c:v>
                </c:pt>
                <c:pt idx="92">
                  <c:v>111.12398483326101</c:v>
                </c:pt>
                <c:pt idx="93">
                  <c:v>112.31886639060799</c:v>
                </c:pt>
                <c:pt idx="94">
                  <c:v>113.513747947954</c:v>
                </c:pt>
                <c:pt idx="95">
                  <c:v>114.708629505301</c:v>
                </c:pt>
                <c:pt idx="96">
                  <c:v>115.90351106264799</c:v>
                </c:pt>
                <c:pt idx="97">
                  <c:v>117.098392619995</c:v>
                </c:pt>
                <c:pt idx="98">
                  <c:v>118.293274177342</c:v>
                </c:pt>
                <c:pt idx="99">
                  <c:v>119.488155734689</c:v>
                </c:pt>
                <c:pt idx="100">
                  <c:v>120.683037292036</c:v>
                </c:pt>
                <c:pt idx="101">
                  <c:v>121.87791884938299</c:v>
                </c:pt>
                <c:pt idx="102">
                  <c:v>123.07280040673</c:v>
                </c:pt>
                <c:pt idx="103">
                  <c:v>124.267681964077</c:v>
                </c:pt>
                <c:pt idx="104">
                  <c:v>125.46256352142299</c:v>
                </c:pt>
                <c:pt idx="105">
                  <c:v>126.65744507877</c:v>
                </c:pt>
                <c:pt idx="106">
                  <c:v>127.852326636117</c:v>
                </c:pt>
                <c:pt idx="107">
                  <c:v>129.047208193464</c:v>
                </c:pt>
                <c:pt idx="108">
                  <c:v>130.242089750811</c:v>
                </c:pt>
                <c:pt idx="109">
                  <c:v>131.43697130815801</c:v>
                </c:pt>
                <c:pt idx="110">
                  <c:v>132.63185286550501</c:v>
                </c:pt>
                <c:pt idx="111">
                  <c:v>133.82673442285201</c:v>
                </c:pt>
                <c:pt idx="112">
                  <c:v>135.02161598019899</c:v>
                </c:pt>
                <c:pt idx="113">
                  <c:v>136.216497537545</c:v>
                </c:pt>
                <c:pt idx="114">
                  <c:v>137.411379094892</c:v>
                </c:pt>
                <c:pt idx="115">
                  <c:v>138.606260652239</c:v>
                </c:pt>
                <c:pt idx="116">
                  <c:v>139.801142209586</c:v>
                </c:pt>
                <c:pt idx="117">
                  <c:v>140.99602376693301</c:v>
                </c:pt>
                <c:pt idx="118">
                  <c:v>142.19090532428001</c:v>
                </c:pt>
                <c:pt idx="119">
                  <c:v>143.38578688162701</c:v>
                </c:pt>
                <c:pt idx="120">
                  <c:v>144.58066843897399</c:v>
                </c:pt>
                <c:pt idx="121">
                  <c:v>145.77554999632099</c:v>
                </c:pt>
                <c:pt idx="122">
                  <c:v>146.970431553667</c:v>
                </c:pt>
                <c:pt idx="123">
                  <c:v>148.165313111014</c:v>
                </c:pt>
                <c:pt idx="124">
                  <c:v>149.360194668361</c:v>
                </c:pt>
                <c:pt idx="125">
                  <c:v>150.55507622570801</c:v>
                </c:pt>
                <c:pt idx="126">
                  <c:v>151.74995778305501</c:v>
                </c:pt>
                <c:pt idx="127">
                  <c:v>152.94483934040201</c:v>
                </c:pt>
                <c:pt idx="128">
                  <c:v>154.13972089774899</c:v>
                </c:pt>
                <c:pt idx="129">
                  <c:v>155.33460245509599</c:v>
                </c:pt>
                <c:pt idx="130">
                  <c:v>156.52948401244299</c:v>
                </c:pt>
                <c:pt idx="131">
                  <c:v>157.724365569789</c:v>
                </c:pt>
                <c:pt idx="132">
                  <c:v>158.919247127136</c:v>
                </c:pt>
                <c:pt idx="133">
                  <c:v>160.11412868448301</c:v>
                </c:pt>
                <c:pt idx="134">
                  <c:v>161.30901024183001</c:v>
                </c:pt>
                <c:pt idx="135">
                  <c:v>162.50389179917701</c:v>
                </c:pt>
                <c:pt idx="136">
                  <c:v>163.69877335652399</c:v>
                </c:pt>
                <c:pt idx="137">
                  <c:v>164.89365491387099</c:v>
                </c:pt>
                <c:pt idx="138">
                  <c:v>166.08853647121799</c:v>
                </c:pt>
                <c:pt idx="139">
                  <c:v>167.28341802856499</c:v>
                </c:pt>
                <c:pt idx="140">
                  <c:v>168.478299585911</c:v>
                </c:pt>
                <c:pt idx="141">
                  <c:v>169.67318114325801</c:v>
                </c:pt>
                <c:pt idx="142">
                  <c:v>170.86806270060501</c:v>
                </c:pt>
                <c:pt idx="143">
                  <c:v>172.06294425795201</c:v>
                </c:pt>
                <c:pt idx="144">
                  <c:v>173.25782581529899</c:v>
                </c:pt>
                <c:pt idx="145">
                  <c:v>174.45270737264599</c:v>
                </c:pt>
                <c:pt idx="146">
                  <c:v>175.64758892999299</c:v>
                </c:pt>
                <c:pt idx="147">
                  <c:v>176.84247048733999</c:v>
                </c:pt>
                <c:pt idx="148">
                  <c:v>178.037352044687</c:v>
                </c:pt>
                <c:pt idx="149">
                  <c:v>179.23223360203301</c:v>
                </c:pt>
                <c:pt idx="150">
                  <c:v>180.42711515938001</c:v>
                </c:pt>
                <c:pt idx="151">
                  <c:v>181.62199671672701</c:v>
                </c:pt>
                <c:pt idx="152">
                  <c:v>182.81687827407401</c:v>
                </c:pt>
                <c:pt idx="153">
                  <c:v>184.01175983142099</c:v>
                </c:pt>
                <c:pt idx="154">
                  <c:v>185.20664138876799</c:v>
                </c:pt>
                <c:pt idx="155">
                  <c:v>186.40152294611499</c:v>
                </c:pt>
                <c:pt idx="156">
                  <c:v>187.596404503462</c:v>
                </c:pt>
                <c:pt idx="157">
                  <c:v>188.791286060809</c:v>
                </c:pt>
                <c:pt idx="158">
                  <c:v>189.98616761815501</c:v>
                </c:pt>
                <c:pt idx="159">
                  <c:v>191.18104917550201</c:v>
                </c:pt>
                <c:pt idx="160">
                  <c:v>192.37593073284901</c:v>
                </c:pt>
                <c:pt idx="161">
                  <c:v>193.57081229019599</c:v>
                </c:pt>
                <c:pt idx="162">
                  <c:v>194.76569384754299</c:v>
                </c:pt>
                <c:pt idx="163">
                  <c:v>195.96057540488999</c:v>
                </c:pt>
                <c:pt idx="164">
                  <c:v>197.155456962237</c:v>
                </c:pt>
                <c:pt idx="165">
                  <c:v>198.350338519584</c:v>
                </c:pt>
                <c:pt idx="166">
                  <c:v>199.545220076931</c:v>
                </c:pt>
                <c:pt idx="167">
                  <c:v>200.74010163427701</c:v>
                </c:pt>
                <c:pt idx="168">
                  <c:v>201.93498319162401</c:v>
                </c:pt>
                <c:pt idx="169">
                  <c:v>203.12986474897099</c:v>
                </c:pt>
                <c:pt idx="170">
                  <c:v>204.32474630631799</c:v>
                </c:pt>
                <c:pt idx="171">
                  <c:v>205.51962786366499</c:v>
                </c:pt>
                <c:pt idx="172">
                  <c:v>206.714509421012</c:v>
                </c:pt>
                <c:pt idx="173">
                  <c:v>207.909390978359</c:v>
                </c:pt>
                <c:pt idx="174">
                  <c:v>209.104272535706</c:v>
                </c:pt>
                <c:pt idx="175">
                  <c:v>210.299154093053</c:v>
                </c:pt>
                <c:pt idx="176">
                  <c:v>211.49403565039901</c:v>
                </c:pt>
                <c:pt idx="177">
                  <c:v>212.68891720774599</c:v>
                </c:pt>
                <c:pt idx="178">
                  <c:v>213.88379876509299</c:v>
                </c:pt>
                <c:pt idx="179">
                  <c:v>215.07868032243999</c:v>
                </c:pt>
                <c:pt idx="180">
                  <c:v>216.273561879787</c:v>
                </c:pt>
                <c:pt idx="181">
                  <c:v>217.468443437134</c:v>
                </c:pt>
                <c:pt idx="182">
                  <c:v>218.663324994481</c:v>
                </c:pt>
                <c:pt idx="183">
                  <c:v>219.858206551828</c:v>
                </c:pt>
                <c:pt idx="184">
                  <c:v>221.05308810917501</c:v>
                </c:pt>
                <c:pt idx="185">
                  <c:v>222.24796966652099</c:v>
                </c:pt>
                <c:pt idx="186">
                  <c:v>223.44285122386799</c:v>
                </c:pt>
                <c:pt idx="187">
                  <c:v>224.63773278121499</c:v>
                </c:pt>
                <c:pt idx="188">
                  <c:v>225.832614338562</c:v>
                </c:pt>
                <c:pt idx="189">
                  <c:v>227.027495895909</c:v>
                </c:pt>
                <c:pt idx="190">
                  <c:v>228.222377453256</c:v>
                </c:pt>
                <c:pt idx="191">
                  <c:v>229.417259010603</c:v>
                </c:pt>
                <c:pt idx="192">
                  <c:v>230.61214056795001</c:v>
                </c:pt>
                <c:pt idx="193">
                  <c:v>231.80702212529701</c:v>
                </c:pt>
                <c:pt idx="194">
                  <c:v>233.00190368264299</c:v>
                </c:pt>
                <c:pt idx="195">
                  <c:v>234.19678523998999</c:v>
                </c:pt>
                <c:pt idx="196">
                  <c:v>235.391666797337</c:v>
                </c:pt>
                <c:pt idx="197">
                  <c:v>236.586548354684</c:v>
                </c:pt>
                <c:pt idx="198">
                  <c:v>237.781429912031</c:v>
                </c:pt>
              </c:numCache>
            </c:numRef>
          </c:xVal>
          <c:yVal>
            <c:numRef>
              <c:f>Health!$M$17:$M$215</c:f>
              <c:numCache>
                <c:formatCode>General</c:formatCode>
                <c:ptCount val="199"/>
                <c:pt idx="0">
                  <c:v>3.0815426004839059E-5</c:v>
                </c:pt>
                <c:pt idx="1">
                  <c:v>6.1262751428070033E-5</c:v>
                </c:pt>
                <c:pt idx="2">
                  <c:v>9.1386065487264966E-5</c:v>
                </c:pt>
                <c:pt idx="3">
                  <c:v>1.2122945739999551E-4</c:v>
                </c:pt>
                <c:pt idx="4">
                  <c:v>1.5083701638383379E-4</c:v>
                </c:pt>
                <c:pt idx="5">
                  <c:v>1.8025283165635174E-4</c:v>
                </c:pt>
                <c:pt idx="6">
                  <c:v>2.0952099243512097E-4</c:v>
                </c:pt>
                <c:pt idx="7">
                  <c:v>2.3868558793771352E-4</c:v>
                </c:pt>
                <c:pt idx="8">
                  <c:v>2.6779070738170135E-4</c:v>
                </c:pt>
                <c:pt idx="9">
                  <c:v>2.9688043998465658E-4</c:v>
                </c:pt>
                <c:pt idx="10">
                  <c:v>3.2599887496415064E-4</c:v>
                </c:pt>
                <c:pt idx="11">
                  <c:v>3.5519010153775533E-4</c:v>
                </c:pt>
                <c:pt idx="12">
                  <c:v>3.8449820892304341E-4</c:v>
                </c:pt>
                <c:pt idx="13">
                  <c:v>4.1396728633758635E-4</c:v>
                </c:pt>
                <c:pt idx="14">
                  <c:v>4.43641422998956E-4</c:v>
                </c:pt>
                <c:pt idx="15">
                  <c:v>4.735647081247227E-4</c:v>
                </c:pt>
                <c:pt idx="16">
                  <c:v>5.0378123093246176E-4</c:v>
                </c:pt>
                <c:pt idx="17">
                  <c:v>5.3433508063974058E-4</c:v>
                </c:pt>
                <c:pt idx="18">
                  <c:v>5.6527034646413504E-4</c:v>
                </c:pt>
                <c:pt idx="19">
                  <c:v>5.9663111762321675E-4</c:v>
                </c:pt>
                <c:pt idx="20">
                  <c:v>6.2846148333455616E-4</c:v>
                </c:pt>
                <c:pt idx="21">
                  <c:v>6.6080553281572501E-4</c:v>
                </c:pt>
                <c:pt idx="22">
                  <c:v>6.9370735528429407E-4</c:v>
                </c:pt>
                <c:pt idx="23">
                  <c:v>7.2721103995783865E-4</c:v>
                </c:pt>
                <c:pt idx="24">
                  <c:v>7.6136067605392973E-4</c:v>
                </c:pt>
                <c:pt idx="25">
                  <c:v>7.9620035279013603E-4</c:v>
                </c:pt>
                <c:pt idx="26">
                  <c:v>8.3177415938403372E-4</c:v>
                </c:pt>
                <c:pt idx="27">
                  <c:v>8.6812618505319216E-4</c:v>
                </c:pt>
                <c:pt idx="28">
                  <c:v>9.0977947016796759E-4</c:v>
                </c:pt>
                <c:pt idx="29">
                  <c:v>9.5393167181562254E-4</c:v>
                </c:pt>
                <c:pt idx="30">
                  <c:v>9.9917004984328745E-4</c:v>
                </c:pt>
                <c:pt idx="31">
                  <c:v>1.0457620798146714E-3</c:v>
                </c:pt>
                <c:pt idx="32">
                  <c:v>1.0935893114187444E-3</c:v>
                </c:pt>
                <c:pt idx="33">
                  <c:v>1.1425424789848998E-3</c:v>
                </c:pt>
                <c:pt idx="34">
                  <c:v>1.1925246611854984E-3</c:v>
                </c:pt>
                <c:pt idx="35">
                  <c:v>1.2434392797362141E-3</c:v>
                </c:pt>
                <c:pt idx="36">
                  <c:v>1.2951726703990169E-3</c:v>
                </c:pt>
                <c:pt idx="37">
                  <c:v>1.347624550439297E-3</c:v>
                </c:pt>
                <c:pt idx="38">
                  <c:v>1.4007077040274834E-3</c:v>
                </c:pt>
                <c:pt idx="39">
                  <c:v>1.4543366639295924E-3</c:v>
                </c:pt>
                <c:pt idx="40">
                  <c:v>1.5084135694418809E-3</c:v>
                </c:pt>
                <c:pt idx="41">
                  <c:v>1.5628555356102837E-3</c:v>
                </c:pt>
                <c:pt idx="42">
                  <c:v>1.6175911484712117E-3</c:v>
                </c:pt>
                <c:pt idx="43">
                  <c:v>1.672551295748653E-3</c:v>
                </c:pt>
                <c:pt idx="44">
                  <c:v>1.7276596581720413E-3</c:v>
                </c:pt>
                <c:pt idx="45">
                  <c:v>1.7828527533580998E-3</c:v>
                </c:pt>
                <c:pt idx="46">
                  <c:v>1.8380770540722059E-3</c:v>
                </c:pt>
                <c:pt idx="47">
                  <c:v>1.8932815538313229E-3</c:v>
                </c:pt>
                <c:pt idx="48">
                  <c:v>1.9484096772599969E-3</c:v>
                </c:pt>
                <c:pt idx="49">
                  <c:v>2.0034171460544797E-3</c:v>
                </c:pt>
                <c:pt idx="50">
                  <c:v>2.0582664023456473E-3</c:v>
                </c:pt>
                <c:pt idx="51">
                  <c:v>2.1129218720640475E-3</c:v>
                </c:pt>
                <c:pt idx="52">
                  <c:v>2.1673463190184749E-3</c:v>
                </c:pt>
                <c:pt idx="53">
                  <c:v>2.2215084032045332E-3</c:v>
                </c:pt>
                <c:pt idx="54">
                  <c:v>2.2753819694779245E-3</c:v>
                </c:pt>
                <c:pt idx="55">
                  <c:v>2.3289424489654469E-3</c:v>
                </c:pt>
                <c:pt idx="56">
                  <c:v>2.3821639277044229E-3</c:v>
                </c:pt>
                <c:pt idx="57">
                  <c:v>2.435026483319992E-3</c:v>
                </c:pt>
                <c:pt idx="58">
                  <c:v>2.4875132719686284E-3</c:v>
                </c:pt>
                <c:pt idx="59">
                  <c:v>2.5396084050249624E-3</c:v>
                </c:pt>
                <c:pt idx="60">
                  <c:v>2.5912939092610486E-3</c:v>
                </c:pt>
                <c:pt idx="61">
                  <c:v>2.6425563377478413E-3</c:v>
                </c:pt>
                <c:pt idx="62">
                  <c:v>2.6933841366904103E-3</c:v>
                </c:pt>
                <c:pt idx="63">
                  <c:v>2.7437663598838522E-3</c:v>
                </c:pt>
                <c:pt idx="64">
                  <c:v>2.7936916805714643E-3</c:v>
                </c:pt>
                <c:pt idx="65">
                  <c:v>2.8431512531850956E-3</c:v>
                </c:pt>
                <c:pt idx="66">
                  <c:v>2.8921371634182524E-3</c:v>
                </c:pt>
                <c:pt idx="67">
                  <c:v>2.9406416839911267E-3</c:v>
                </c:pt>
                <c:pt idx="68">
                  <c:v>2.988657012472232E-3</c:v>
                </c:pt>
                <c:pt idx="69">
                  <c:v>3.0361774746412175E-3</c:v>
                </c:pt>
                <c:pt idx="70">
                  <c:v>3.0831978961082178E-3</c:v>
                </c:pt>
                <c:pt idx="71">
                  <c:v>3.1297131965621985E-3</c:v>
                </c:pt>
                <c:pt idx="72">
                  <c:v>3.1757192183976238E-3</c:v>
                </c:pt>
                <c:pt idx="73">
                  <c:v>3.2212118779759579E-3</c:v>
                </c:pt>
                <c:pt idx="74">
                  <c:v>3.2661880965920357E-3</c:v>
                </c:pt>
                <c:pt idx="75">
                  <c:v>3.310645292014918E-3</c:v>
                </c:pt>
                <c:pt idx="76">
                  <c:v>3.3545811169774574E-3</c:v>
                </c:pt>
                <c:pt idx="77">
                  <c:v>3.3979943032078396E-3</c:v>
                </c:pt>
                <c:pt idx="78">
                  <c:v>3.4408840738989659E-3</c:v>
                </c:pt>
                <c:pt idx="79">
                  <c:v>3.4832500139386031E-3</c:v>
                </c:pt>
                <c:pt idx="80">
                  <c:v>3.5250924768313596E-3</c:v>
                </c:pt>
                <c:pt idx="81">
                  <c:v>3.5664124480421474E-3</c:v>
                </c:pt>
                <c:pt idx="82">
                  <c:v>3.6072113280994798E-3</c:v>
                </c:pt>
                <c:pt idx="83">
                  <c:v>3.6474909897694675E-3</c:v>
                </c:pt>
                <c:pt idx="84">
                  <c:v>3.6872546298428854E-3</c:v>
                </c:pt>
                <c:pt idx="85">
                  <c:v>3.7265057261933214E-3</c:v>
                </c:pt>
                <c:pt idx="86">
                  <c:v>3.7652480525864713E-3</c:v>
                </c:pt>
                <c:pt idx="87">
                  <c:v>3.8034859544276763E-3</c:v>
                </c:pt>
                <c:pt idx="88">
                  <c:v>3.8412255613884776E-3</c:v>
                </c:pt>
                <c:pt idx="89">
                  <c:v>3.8784728837335052E-3</c:v>
                </c:pt>
                <c:pt idx="90">
                  <c:v>3.9152340645890026E-3</c:v>
                </c:pt>
                <c:pt idx="91">
                  <c:v>3.9515158780722278E-3</c:v>
                </c:pt>
                <c:pt idx="92">
                  <c:v>3.98732735954939E-3</c:v>
                </c:pt>
                <c:pt idx="93">
                  <c:v>4.0226768467444942E-3</c:v>
                </c:pt>
                <c:pt idx="94">
                  <c:v>4.0575726597910141E-3</c:v>
                </c:pt>
                <c:pt idx="95">
                  <c:v>4.092023796905717E-3</c:v>
                </c:pt>
                <c:pt idx="96">
                  <c:v>4.1260417757484676E-3</c:v>
                </c:pt>
                <c:pt idx="97">
                  <c:v>4.1596368410986529E-3</c:v>
                </c:pt>
                <c:pt idx="98">
                  <c:v>4.1928190605628407E-3</c:v>
                </c:pt>
                <c:pt idx="99">
                  <c:v>4.2255991796588824E-3</c:v>
                </c:pt>
                <c:pt idx="100">
                  <c:v>4.2579905346572609E-3</c:v>
                </c:pt>
                <c:pt idx="101">
                  <c:v>4.2900046336064659E-3</c:v>
                </c:pt>
                <c:pt idx="102">
                  <c:v>4.321652665670638E-3</c:v>
                </c:pt>
                <c:pt idx="103">
                  <c:v>4.3529464568253613E-3</c:v>
                </c:pt>
                <c:pt idx="104">
                  <c:v>4.3839003167559449E-3</c:v>
                </c:pt>
                <c:pt idx="105">
                  <c:v>4.4145262699871934E-3</c:v>
                </c:pt>
                <c:pt idx="106">
                  <c:v>4.4448359060641736E-3</c:v>
                </c:pt>
                <c:pt idx="107">
                  <c:v>4.4748413697969416E-3</c:v>
                </c:pt>
                <c:pt idx="108">
                  <c:v>4.5045570026751702E-3</c:v>
                </c:pt>
                <c:pt idx="109">
                  <c:v>4.5339945777419588E-3</c:v>
                </c:pt>
                <c:pt idx="110">
                  <c:v>4.5631653533798038E-3</c:v>
                </c:pt>
                <c:pt idx="111">
                  <c:v>4.5920810321951732E-3</c:v>
                </c:pt>
                <c:pt idx="112">
                  <c:v>4.6207550854652129E-3</c:v>
                </c:pt>
                <c:pt idx="113">
                  <c:v>4.6491983340404622E-3</c:v>
                </c:pt>
                <c:pt idx="114">
                  <c:v>4.6774210393203302E-3</c:v>
                </c:pt>
                <c:pt idx="115">
                  <c:v>4.7054337684368829E-3</c:v>
                </c:pt>
                <c:pt idx="116">
                  <c:v>4.7332483811110149E-3</c:v>
                </c:pt>
                <c:pt idx="117">
                  <c:v>4.7608741829496598E-3</c:v>
                </c:pt>
                <c:pt idx="118">
                  <c:v>4.7883199308244419E-3</c:v>
                </c:pt>
                <c:pt idx="119">
                  <c:v>4.8155945616797985E-3</c:v>
                </c:pt>
                <c:pt idx="120">
                  <c:v>4.8427078249278109E-3</c:v>
                </c:pt>
                <c:pt idx="121">
                  <c:v>4.8696672128073232E-3</c:v>
                </c:pt>
                <c:pt idx="122">
                  <c:v>4.8964797215231256E-3</c:v>
                </c:pt>
                <c:pt idx="123">
                  <c:v>4.9231524212570692E-3</c:v>
                </c:pt>
                <c:pt idx="124">
                  <c:v>4.9496928296545381E-3</c:v>
                </c:pt>
                <c:pt idx="125">
                  <c:v>4.9761066240325749E-3</c:v>
                </c:pt>
                <c:pt idx="126">
                  <c:v>5.0023990782196437E-3</c:v>
                </c:pt>
                <c:pt idx="127">
                  <c:v>5.0285754827307048E-3</c:v>
                </c:pt>
                <c:pt idx="128">
                  <c:v>5.0546413637739263E-3</c:v>
                </c:pt>
                <c:pt idx="129">
                  <c:v>5.0806008638058535E-3</c:v>
                </c:pt>
                <c:pt idx="130">
                  <c:v>5.1064578348808121E-3</c:v>
                </c:pt>
                <c:pt idx="131">
                  <c:v>5.1322161439329968E-3</c:v>
                </c:pt>
                <c:pt idx="132">
                  <c:v>5.1578798208322656E-3</c:v>
                </c:pt>
                <c:pt idx="133">
                  <c:v>5.1834519145914776E-3</c:v>
                </c:pt>
                <c:pt idx="134">
                  <c:v>5.2089352900700579E-3</c:v>
                </c:pt>
                <c:pt idx="135">
                  <c:v>5.2343328628156943E-3</c:v>
                </c:pt>
                <c:pt idx="136">
                  <c:v>5.2596477228198423E-3</c:v>
                </c:pt>
                <c:pt idx="137">
                  <c:v>5.284882270260121E-3</c:v>
                </c:pt>
                <c:pt idx="138">
                  <c:v>5.3100387997931419E-3</c:v>
                </c:pt>
                <c:pt idx="139">
                  <c:v>5.3351196943652503E-3</c:v>
                </c:pt>
                <c:pt idx="140">
                  <c:v>5.3601276682505175E-3</c:v>
                </c:pt>
                <c:pt idx="141">
                  <c:v>5.3850647749411002E-3</c:v>
                </c:pt>
                <c:pt idx="142">
                  <c:v>5.4099330155353122E-3</c:v>
                </c:pt>
                <c:pt idx="143">
                  <c:v>5.4347345418598514E-3</c:v>
                </c:pt>
                <c:pt idx="144">
                  <c:v>5.4594717677701656E-3</c:v>
                </c:pt>
                <c:pt idx="145">
                  <c:v>5.4841466222010308E-3</c:v>
                </c:pt>
                <c:pt idx="146">
                  <c:v>5.5087610358159371E-3</c:v>
                </c:pt>
                <c:pt idx="147">
                  <c:v>5.5333171954005432E-3</c:v>
                </c:pt>
                <c:pt idx="148">
                  <c:v>5.5578172208247661E-3</c:v>
                </c:pt>
                <c:pt idx="149">
                  <c:v>5.5822629762962228E-3</c:v>
                </c:pt>
                <c:pt idx="150">
                  <c:v>5.6066563071484566E-3</c:v>
                </c:pt>
                <c:pt idx="151">
                  <c:v>5.6309992192233559E-3</c:v>
                </c:pt>
                <c:pt idx="152">
                  <c:v>5.6552940168742866E-3</c:v>
                </c:pt>
                <c:pt idx="153">
                  <c:v>5.6795423632198336E-3</c:v>
                </c:pt>
                <c:pt idx="154">
                  <c:v>5.7037459054281436E-3</c:v>
                </c:pt>
                <c:pt idx="155">
                  <c:v>5.7279065069848582E-3</c:v>
                </c:pt>
                <c:pt idx="156">
                  <c:v>5.7520261497789292E-3</c:v>
                </c:pt>
                <c:pt idx="157">
                  <c:v>5.7761064552026078E-3</c:v>
                </c:pt>
                <c:pt idx="158">
                  <c:v>5.8001489622100076E-3</c:v>
                </c:pt>
                <c:pt idx="159">
                  <c:v>5.8241552239906794E-3</c:v>
                </c:pt>
                <c:pt idx="160">
                  <c:v>5.8481269335260867E-3</c:v>
                </c:pt>
                <c:pt idx="161">
                  <c:v>5.8720654052387359E-3</c:v>
                </c:pt>
                <c:pt idx="162">
                  <c:v>5.8959719028259007E-3</c:v>
                </c:pt>
                <c:pt idx="163">
                  <c:v>5.9198477420417447E-3</c:v>
                </c:pt>
                <c:pt idx="164">
                  <c:v>5.9436945532065008E-3</c:v>
                </c:pt>
                <c:pt idx="165">
                  <c:v>5.9675133073194856E-3</c:v>
                </c:pt>
                <c:pt idx="166">
                  <c:v>5.9913048843383962E-3</c:v>
                </c:pt>
                <c:pt idx="167">
                  <c:v>6.0150701591701501E-3</c:v>
                </c:pt>
                <c:pt idx="168">
                  <c:v>6.0388102603687859E-3</c:v>
                </c:pt>
                <c:pt idx="169">
                  <c:v>6.062525734045747E-3</c:v>
                </c:pt>
                <c:pt idx="170">
                  <c:v>6.0862171130177146E-3</c:v>
                </c:pt>
                <c:pt idx="171">
                  <c:v>6.1098851016668787E-3</c:v>
                </c:pt>
                <c:pt idx="172">
                  <c:v>6.1335305946053969E-3</c:v>
                </c:pt>
                <c:pt idx="173">
                  <c:v>6.1571540452793946E-3</c:v>
                </c:pt>
                <c:pt idx="174">
                  <c:v>6.1807557663940841E-3</c:v>
                </c:pt>
                <c:pt idx="175">
                  <c:v>6.2043358127351813E-3</c:v>
                </c:pt>
                <c:pt idx="176">
                  <c:v>6.2278945429135512E-3</c:v>
                </c:pt>
                <c:pt idx="177">
                  <c:v>6.2514321680211199E-3</c:v>
                </c:pt>
                <c:pt idx="178">
                  <c:v>6.2749488697669319E-3</c:v>
                </c:pt>
                <c:pt idx="179">
                  <c:v>6.2984447898484994E-3</c:v>
                </c:pt>
                <c:pt idx="180">
                  <c:v>6.3219201865692314E-3</c:v>
                </c:pt>
                <c:pt idx="181">
                  <c:v>6.345375229321739E-3</c:v>
                </c:pt>
                <c:pt idx="182">
                  <c:v>6.3688100054629382E-3</c:v>
                </c:pt>
                <c:pt idx="183">
                  <c:v>6.3922243585394327E-3</c:v>
                </c:pt>
                <c:pt idx="184">
                  <c:v>6.4156182623802994E-3</c:v>
                </c:pt>
                <c:pt idx="185">
                  <c:v>6.4389918332119498E-3</c:v>
                </c:pt>
                <c:pt idx="186">
                  <c:v>6.4623451110146241E-3</c:v>
                </c:pt>
                <c:pt idx="187">
                  <c:v>6.4856777380554089E-3</c:v>
                </c:pt>
                <c:pt idx="188">
                  <c:v>6.5089896872046922E-3</c:v>
                </c:pt>
                <c:pt idx="189">
                  <c:v>6.5322809392483481E-3</c:v>
                </c:pt>
                <c:pt idx="190">
                  <c:v>6.5555514650279048E-3</c:v>
                </c:pt>
                <c:pt idx="191">
                  <c:v>6.5788011869444812E-3</c:v>
                </c:pt>
                <c:pt idx="192">
                  <c:v>6.6020298290523048E-3</c:v>
                </c:pt>
                <c:pt idx="193">
                  <c:v>6.6252373629094715E-3</c:v>
                </c:pt>
                <c:pt idx="194">
                  <c:v>6.648423831024132E-3</c:v>
                </c:pt>
                <c:pt idx="195">
                  <c:v>6.6715894386542955E-3</c:v>
                </c:pt>
                <c:pt idx="196">
                  <c:v>6.6947339101145953E-3</c:v>
                </c:pt>
                <c:pt idx="197">
                  <c:v>6.7178563712472442E-3</c:v>
                </c:pt>
                <c:pt idx="198">
                  <c:v>6.7409595388925256E-3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D9-4AC8-9F3C-667F3EA613B7}"/>
            </c:ext>
          </c:extLst>
        </c:ser>
        <c:ser>
          <c:idx val="1"/>
          <c:order val="1"/>
          <c:tx>
            <c:strRef>
              <c:f>Health!N15</c:f>
              <c:strCache>
                <c:ptCount val="1"/>
                <c:pt idx="0">
                  <c:v>Female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rgbClr val="BE5014"/>
                </a:solidFill>
                <a:prstDash val="solid"/>
              </a:ln>
              <a:effectLst/>
            </c:spPr>
          </c:marker>
          <c:trendline>
            <c:name>-3E -14x⁵ + 2E  -11 x⁴ - 5E-09x³ + 5E  - 07x² +7E  -06x  ; R²=0,9998</c:name>
            <c:spPr>
              <a:ln w="12700" cap="rnd">
                <a:solidFill>
                  <a:srgbClr val="E97132"/>
                </a:solidFill>
                <a:prstDash val="solid"/>
              </a:ln>
              <a:effectLst/>
            </c:spPr>
            <c:trendlineType val="poly"/>
            <c:order val="5"/>
            <c:forward val="30"/>
            <c:backward val="30"/>
            <c:intercept val="0"/>
            <c:dispRSqr val="0"/>
            <c:dispEq val="0"/>
          </c:trendline>
          <c:xVal>
            <c:numRef>
              <c:f>Health!$L$17:$L$215</c:f>
              <c:numCache>
                <c:formatCode>General</c:formatCode>
                <c:ptCount val="199"/>
                <c:pt idx="0">
                  <c:v>1.1948815573468901</c:v>
                </c:pt>
                <c:pt idx="1">
                  <c:v>2.3897631146937801</c:v>
                </c:pt>
                <c:pt idx="2">
                  <c:v>3.5846446720406702</c:v>
                </c:pt>
                <c:pt idx="3">
                  <c:v>4.7795262293875602</c:v>
                </c:pt>
                <c:pt idx="4">
                  <c:v>5.9744077867344503</c:v>
                </c:pt>
                <c:pt idx="5">
                  <c:v>7.1692893440813403</c:v>
                </c:pt>
                <c:pt idx="6">
                  <c:v>8.3641709014282295</c:v>
                </c:pt>
                <c:pt idx="7">
                  <c:v>9.5590524587751204</c:v>
                </c:pt>
                <c:pt idx="8">
                  <c:v>10.753934016122001</c:v>
                </c:pt>
                <c:pt idx="9">
                  <c:v>11.948815573468901</c:v>
                </c:pt>
                <c:pt idx="10">
                  <c:v>13.1436971308158</c:v>
                </c:pt>
                <c:pt idx="11">
                  <c:v>14.3385786881627</c:v>
                </c:pt>
                <c:pt idx="12">
                  <c:v>15.5334602455096</c:v>
                </c:pt>
                <c:pt idx="13">
                  <c:v>16.728341802856502</c:v>
                </c:pt>
                <c:pt idx="14">
                  <c:v>17.923223360203298</c:v>
                </c:pt>
                <c:pt idx="15">
                  <c:v>19.118104917550198</c:v>
                </c:pt>
                <c:pt idx="16">
                  <c:v>20.312986474897102</c:v>
                </c:pt>
                <c:pt idx="17">
                  <c:v>21.507868032244001</c:v>
                </c:pt>
                <c:pt idx="18">
                  <c:v>22.702749589590901</c:v>
                </c:pt>
                <c:pt idx="19">
                  <c:v>23.897631146937801</c:v>
                </c:pt>
                <c:pt idx="20">
                  <c:v>25.092512704284701</c:v>
                </c:pt>
                <c:pt idx="21">
                  <c:v>26.287394261631601</c:v>
                </c:pt>
                <c:pt idx="22">
                  <c:v>27.482275818978501</c:v>
                </c:pt>
                <c:pt idx="23">
                  <c:v>28.677157376325301</c:v>
                </c:pt>
                <c:pt idx="24">
                  <c:v>29.872038933672201</c:v>
                </c:pt>
                <c:pt idx="25">
                  <c:v>31.066920491019101</c:v>
                </c:pt>
                <c:pt idx="26">
                  <c:v>32.261802048366</c:v>
                </c:pt>
                <c:pt idx="27">
                  <c:v>33.456683605712897</c:v>
                </c:pt>
                <c:pt idx="28">
                  <c:v>34.6515651630598</c:v>
                </c:pt>
                <c:pt idx="29">
                  <c:v>35.846446720406703</c:v>
                </c:pt>
                <c:pt idx="30">
                  <c:v>37.0413282777536</c:v>
                </c:pt>
                <c:pt idx="31">
                  <c:v>38.236209835100503</c:v>
                </c:pt>
                <c:pt idx="32">
                  <c:v>39.4310913924473</c:v>
                </c:pt>
                <c:pt idx="33">
                  <c:v>40.625972949794203</c:v>
                </c:pt>
                <c:pt idx="34">
                  <c:v>41.8208545071411</c:v>
                </c:pt>
                <c:pt idx="35">
                  <c:v>43.015736064488003</c:v>
                </c:pt>
                <c:pt idx="36">
                  <c:v>44.210617621834899</c:v>
                </c:pt>
                <c:pt idx="37">
                  <c:v>45.405499179181803</c:v>
                </c:pt>
                <c:pt idx="38">
                  <c:v>46.600380736528699</c:v>
                </c:pt>
                <c:pt idx="39">
                  <c:v>47.795262293875602</c:v>
                </c:pt>
                <c:pt idx="40">
                  <c:v>48.990143851222498</c:v>
                </c:pt>
                <c:pt idx="41">
                  <c:v>50.185025408569402</c:v>
                </c:pt>
                <c:pt idx="42">
                  <c:v>51.379906965916199</c:v>
                </c:pt>
                <c:pt idx="43">
                  <c:v>52.574788523263102</c:v>
                </c:pt>
                <c:pt idx="44">
                  <c:v>53.769670080609998</c:v>
                </c:pt>
                <c:pt idx="45">
                  <c:v>54.964551637956902</c:v>
                </c:pt>
                <c:pt idx="46">
                  <c:v>56.159433195303798</c:v>
                </c:pt>
                <c:pt idx="47">
                  <c:v>57.354314752650701</c:v>
                </c:pt>
                <c:pt idx="48">
                  <c:v>58.549196309997598</c:v>
                </c:pt>
                <c:pt idx="49">
                  <c:v>59.744077867344501</c:v>
                </c:pt>
                <c:pt idx="50">
                  <c:v>60.938959424691397</c:v>
                </c:pt>
                <c:pt idx="51">
                  <c:v>62.133840982038301</c:v>
                </c:pt>
                <c:pt idx="52">
                  <c:v>63.328722539385097</c:v>
                </c:pt>
                <c:pt idx="53">
                  <c:v>64.523604096732001</c:v>
                </c:pt>
                <c:pt idx="54">
                  <c:v>65.718485654078904</c:v>
                </c:pt>
                <c:pt idx="55">
                  <c:v>66.913367211425793</c:v>
                </c:pt>
                <c:pt idx="56">
                  <c:v>68.108248768772697</c:v>
                </c:pt>
                <c:pt idx="57">
                  <c:v>69.3031303261196</c:v>
                </c:pt>
                <c:pt idx="58">
                  <c:v>70.498011883466503</c:v>
                </c:pt>
                <c:pt idx="59">
                  <c:v>71.692893440813407</c:v>
                </c:pt>
                <c:pt idx="60">
                  <c:v>72.887774998160296</c:v>
                </c:pt>
                <c:pt idx="61">
                  <c:v>74.0826565555071</c:v>
                </c:pt>
                <c:pt idx="62">
                  <c:v>75.277538112854003</c:v>
                </c:pt>
                <c:pt idx="63">
                  <c:v>76.472419670200907</c:v>
                </c:pt>
                <c:pt idx="64">
                  <c:v>77.667301227547796</c:v>
                </c:pt>
                <c:pt idx="65">
                  <c:v>78.862182784894699</c:v>
                </c:pt>
                <c:pt idx="66">
                  <c:v>80.057064342241603</c:v>
                </c:pt>
                <c:pt idx="67">
                  <c:v>81.251945899588506</c:v>
                </c:pt>
                <c:pt idx="68">
                  <c:v>82.446827456935395</c:v>
                </c:pt>
                <c:pt idx="69">
                  <c:v>83.641709014282299</c:v>
                </c:pt>
                <c:pt idx="70">
                  <c:v>84.836590571629102</c:v>
                </c:pt>
                <c:pt idx="71">
                  <c:v>86.031472128976006</c:v>
                </c:pt>
                <c:pt idx="72">
                  <c:v>87.226353686322895</c:v>
                </c:pt>
                <c:pt idx="73">
                  <c:v>88.421235243669798</c:v>
                </c:pt>
                <c:pt idx="74">
                  <c:v>89.616116801016702</c:v>
                </c:pt>
                <c:pt idx="75">
                  <c:v>90.810998358363605</c:v>
                </c:pt>
                <c:pt idx="76">
                  <c:v>92.005879915710494</c:v>
                </c:pt>
                <c:pt idx="77">
                  <c:v>93.200761473057398</c:v>
                </c:pt>
                <c:pt idx="78">
                  <c:v>94.395643030404301</c:v>
                </c:pt>
                <c:pt idx="79">
                  <c:v>95.590524587751204</c:v>
                </c:pt>
                <c:pt idx="80">
                  <c:v>96.785406145097994</c:v>
                </c:pt>
                <c:pt idx="81">
                  <c:v>97.980287702444897</c:v>
                </c:pt>
                <c:pt idx="82">
                  <c:v>99.175169259791801</c:v>
                </c:pt>
                <c:pt idx="83">
                  <c:v>100.370050817139</c:v>
                </c:pt>
                <c:pt idx="84">
                  <c:v>101.56493237448601</c:v>
                </c:pt>
                <c:pt idx="85">
                  <c:v>102.759813931832</c:v>
                </c:pt>
                <c:pt idx="86">
                  <c:v>103.954695489179</c:v>
                </c:pt>
                <c:pt idx="87">
                  <c:v>105.14957704652601</c:v>
                </c:pt>
                <c:pt idx="88">
                  <c:v>106.34445860387299</c:v>
                </c:pt>
                <c:pt idx="89">
                  <c:v>107.53934016122</c:v>
                </c:pt>
                <c:pt idx="90">
                  <c:v>108.734221718567</c:v>
                </c:pt>
                <c:pt idx="91">
                  <c:v>109.929103275914</c:v>
                </c:pt>
                <c:pt idx="92">
                  <c:v>111.12398483326101</c:v>
                </c:pt>
                <c:pt idx="93">
                  <c:v>112.31886639060799</c:v>
                </c:pt>
                <c:pt idx="94">
                  <c:v>113.513747947954</c:v>
                </c:pt>
                <c:pt idx="95">
                  <c:v>114.708629505301</c:v>
                </c:pt>
                <c:pt idx="96">
                  <c:v>115.90351106264799</c:v>
                </c:pt>
                <c:pt idx="97">
                  <c:v>117.098392619995</c:v>
                </c:pt>
                <c:pt idx="98">
                  <c:v>118.293274177342</c:v>
                </c:pt>
                <c:pt idx="99">
                  <c:v>119.488155734689</c:v>
                </c:pt>
                <c:pt idx="100">
                  <c:v>120.683037292036</c:v>
                </c:pt>
                <c:pt idx="101">
                  <c:v>121.87791884938299</c:v>
                </c:pt>
                <c:pt idx="102">
                  <c:v>123.07280040673</c:v>
                </c:pt>
                <c:pt idx="103">
                  <c:v>124.267681964077</c:v>
                </c:pt>
                <c:pt idx="104">
                  <c:v>125.46256352142299</c:v>
                </c:pt>
                <c:pt idx="105">
                  <c:v>126.65744507877</c:v>
                </c:pt>
                <c:pt idx="106">
                  <c:v>127.852326636117</c:v>
                </c:pt>
                <c:pt idx="107">
                  <c:v>129.047208193464</c:v>
                </c:pt>
                <c:pt idx="108">
                  <c:v>130.242089750811</c:v>
                </c:pt>
                <c:pt idx="109">
                  <c:v>131.43697130815801</c:v>
                </c:pt>
                <c:pt idx="110">
                  <c:v>132.63185286550501</c:v>
                </c:pt>
                <c:pt idx="111">
                  <c:v>133.82673442285201</c:v>
                </c:pt>
                <c:pt idx="112">
                  <c:v>135.02161598019899</c:v>
                </c:pt>
                <c:pt idx="113">
                  <c:v>136.216497537545</c:v>
                </c:pt>
                <c:pt idx="114">
                  <c:v>137.411379094892</c:v>
                </c:pt>
                <c:pt idx="115">
                  <c:v>138.606260652239</c:v>
                </c:pt>
                <c:pt idx="116">
                  <c:v>139.801142209586</c:v>
                </c:pt>
                <c:pt idx="117">
                  <c:v>140.99602376693301</c:v>
                </c:pt>
                <c:pt idx="118">
                  <c:v>142.19090532428001</c:v>
                </c:pt>
                <c:pt idx="119">
                  <c:v>143.38578688162701</c:v>
                </c:pt>
                <c:pt idx="120">
                  <c:v>144.58066843897399</c:v>
                </c:pt>
                <c:pt idx="121">
                  <c:v>145.77554999632099</c:v>
                </c:pt>
                <c:pt idx="122">
                  <c:v>146.970431553667</c:v>
                </c:pt>
                <c:pt idx="123">
                  <c:v>148.165313111014</c:v>
                </c:pt>
                <c:pt idx="124">
                  <c:v>149.360194668361</c:v>
                </c:pt>
                <c:pt idx="125">
                  <c:v>150.55507622570801</c:v>
                </c:pt>
                <c:pt idx="126">
                  <c:v>151.74995778305501</c:v>
                </c:pt>
                <c:pt idx="127">
                  <c:v>152.94483934040201</c:v>
                </c:pt>
                <c:pt idx="128">
                  <c:v>154.13972089774899</c:v>
                </c:pt>
                <c:pt idx="129">
                  <c:v>155.33460245509599</c:v>
                </c:pt>
                <c:pt idx="130">
                  <c:v>156.52948401244299</c:v>
                </c:pt>
                <c:pt idx="131">
                  <c:v>157.724365569789</c:v>
                </c:pt>
                <c:pt idx="132">
                  <c:v>158.919247127136</c:v>
                </c:pt>
                <c:pt idx="133">
                  <c:v>160.11412868448301</c:v>
                </c:pt>
                <c:pt idx="134">
                  <c:v>161.30901024183001</c:v>
                </c:pt>
                <c:pt idx="135">
                  <c:v>162.50389179917701</c:v>
                </c:pt>
                <c:pt idx="136">
                  <c:v>163.69877335652399</c:v>
                </c:pt>
                <c:pt idx="137">
                  <c:v>164.89365491387099</c:v>
                </c:pt>
                <c:pt idx="138">
                  <c:v>166.08853647121799</c:v>
                </c:pt>
                <c:pt idx="139">
                  <c:v>167.28341802856499</c:v>
                </c:pt>
                <c:pt idx="140">
                  <c:v>168.478299585911</c:v>
                </c:pt>
                <c:pt idx="141">
                  <c:v>169.67318114325801</c:v>
                </c:pt>
                <c:pt idx="142">
                  <c:v>170.86806270060501</c:v>
                </c:pt>
                <c:pt idx="143">
                  <c:v>172.06294425795201</c:v>
                </c:pt>
                <c:pt idx="144">
                  <c:v>173.25782581529899</c:v>
                </c:pt>
                <c:pt idx="145">
                  <c:v>174.45270737264599</c:v>
                </c:pt>
                <c:pt idx="146">
                  <c:v>175.64758892999299</c:v>
                </c:pt>
                <c:pt idx="147">
                  <c:v>176.84247048733999</c:v>
                </c:pt>
                <c:pt idx="148">
                  <c:v>178.037352044687</c:v>
                </c:pt>
                <c:pt idx="149">
                  <c:v>179.23223360203301</c:v>
                </c:pt>
                <c:pt idx="150">
                  <c:v>180.42711515938001</c:v>
                </c:pt>
                <c:pt idx="151">
                  <c:v>181.62199671672701</c:v>
                </c:pt>
                <c:pt idx="152">
                  <c:v>182.81687827407401</c:v>
                </c:pt>
                <c:pt idx="153">
                  <c:v>184.01175983142099</c:v>
                </c:pt>
                <c:pt idx="154">
                  <c:v>185.20664138876799</c:v>
                </c:pt>
                <c:pt idx="155">
                  <c:v>186.40152294611499</c:v>
                </c:pt>
                <c:pt idx="156">
                  <c:v>187.596404503462</c:v>
                </c:pt>
                <c:pt idx="157">
                  <c:v>188.791286060809</c:v>
                </c:pt>
                <c:pt idx="158">
                  <c:v>189.98616761815501</c:v>
                </c:pt>
                <c:pt idx="159">
                  <c:v>191.18104917550201</c:v>
                </c:pt>
                <c:pt idx="160">
                  <c:v>192.37593073284901</c:v>
                </c:pt>
                <c:pt idx="161">
                  <c:v>193.57081229019599</c:v>
                </c:pt>
                <c:pt idx="162">
                  <c:v>194.76569384754299</c:v>
                </c:pt>
                <c:pt idx="163">
                  <c:v>195.96057540488999</c:v>
                </c:pt>
                <c:pt idx="164">
                  <c:v>197.155456962237</c:v>
                </c:pt>
                <c:pt idx="165">
                  <c:v>198.350338519584</c:v>
                </c:pt>
                <c:pt idx="166">
                  <c:v>199.545220076931</c:v>
                </c:pt>
                <c:pt idx="167">
                  <c:v>200.74010163427701</c:v>
                </c:pt>
                <c:pt idx="168">
                  <c:v>201.93498319162401</c:v>
                </c:pt>
                <c:pt idx="169">
                  <c:v>203.12986474897099</c:v>
                </c:pt>
                <c:pt idx="170">
                  <c:v>204.32474630631799</c:v>
                </c:pt>
                <c:pt idx="171">
                  <c:v>205.51962786366499</c:v>
                </c:pt>
                <c:pt idx="172">
                  <c:v>206.714509421012</c:v>
                </c:pt>
                <c:pt idx="173">
                  <c:v>207.909390978359</c:v>
                </c:pt>
                <c:pt idx="174">
                  <c:v>209.104272535706</c:v>
                </c:pt>
                <c:pt idx="175">
                  <c:v>210.299154093053</c:v>
                </c:pt>
                <c:pt idx="176">
                  <c:v>211.49403565039901</c:v>
                </c:pt>
                <c:pt idx="177">
                  <c:v>212.68891720774599</c:v>
                </c:pt>
                <c:pt idx="178">
                  <c:v>213.88379876509299</c:v>
                </c:pt>
                <c:pt idx="179">
                  <c:v>215.07868032243999</c:v>
                </c:pt>
                <c:pt idx="180">
                  <c:v>216.273561879787</c:v>
                </c:pt>
                <c:pt idx="181">
                  <c:v>217.468443437134</c:v>
                </c:pt>
                <c:pt idx="182">
                  <c:v>218.663324994481</c:v>
                </c:pt>
                <c:pt idx="183">
                  <c:v>219.858206551828</c:v>
                </c:pt>
                <c:pt idx="184">
                  <c:v>221.05308810917501</c:v>
                </c:pt>
                <c:pt idx="185">
                  <c:v>222.24796966652099</c:v>
                </c:pt>
                <c:pt idx="186">
                  <c:v>223.44285122386799</c:v>
                </c:pt>
                <c:pt idx="187">
                  <c:v>224.63773278121499</c:v>
                </c:pt>
                <c:pt idx="188">
                  <c:v>225.832614338562</c:v>
                </c:pt>
                <c:pt idx="189">
                  <c:v>227.027495895909</c:v>
                </c:pt>
                <c:pt idx="190">
                  <c:v>228.222377453256</c:v>
                </c:pt>
                <c:pt idx="191">
                  <c:v>229.417259010603</c:v>
                </c:pt>
                <c:pt idx="192">
                  <c:v>230.61214056795001</c:v>
                </c:pt>
                <c:pt idx="193">
                  <c:v>231.80702212529701</c:v>
                </c:pt>
                <c:pt idx="194">
                  <c:v>233.00190368264299</c:v>
                </c:pt>
                <c:pt idx="195">
                  <c:v>234.19678523998999</c:v>
                </c:pt>
                <c:pt idx="196">
                  <c:v>235.391666797337</c:v>
                </c:pt>
                <c:pt idx="197">
                  <c:v>236.586548354684</c:v>
                </c:pt>
                <c:pt idx="198">
                  <c:v>237.781429912031</c:v>
                </c:pt>
              </c:numCache>
            </c:numRef>
          </c:xVal>
          <c:yVal>
            <c:numRef>
              <c:f>Health!$N$17:$N$215</c:f>
              <c:numCache>
                <c:formatCode>General</c:formatCode>
                <c:ptCount val="199"/>
                <c:pt idx="0">
                  <c:v>2.174777788319299E-5</c:v>
                </c:pt>
                <c:pt idx="1">
                  <c:v>4.3235403098061076E-5</c:v>
                </c:pt>
                <c:pt idx="2">
                  <c:v>6.4494035409540354E-5</c:v>
                </c:pt>
                <c:pt idx="3">
                  <c:v>8.5554834582566523E-5</c:v>
                </c:pt>
                <c:pt idx="4">
                  <c:v>1.0644896038207567E-4</c:v>
                </c:pt>
                <c:pt idx="5">
                  <c:v>1.2720757257300374E-4</c:v>
                </c:pt>
                <c:pt idx="6">
                  <c:v>1.4786183092028649E-4</c:v>
                </c:pt>
                <c:pt idx="7">
                  <c:v>1.6844289518885995E-4</c:v>
                </c:pt>
                <c:pt idx="8">
                  <c:v>1.8898192514366004E-4</c:v>
                </c:pt>
                <c:pt idx="9">
                  <c:v>2.0951008054962284E-4</c:v>
                </c:pt>
                <c:pt idx="10">
                  <c:v>2.3005852117168396E-4</c:v>
                </c:pt>
                <c:pt idx="11">
                  <c:v>2.5065840677477934E-4</c:v>
                </c:pt>
                <c:pt idx="12">
                  <c:v>2.7134089712384533E-4</c:v>
                </c:pt>
                <c:pt idx="13">
                  <c:v>2.9213715198381793E-4</c:v>
                </c:pt>
                <c:pt idx="14">
                  <c:v>3.1307833111963247E-4</c:v>
                </c:pt>
                <c:pt idx="15">
                  <c:v>3.3419559429622423E-4</c:v>
                </c:pt>
                <c:pt idx="16">
                  <c:v>3.5552010127853125E-4</c:v>
                </c:pt>
                <c:pt idx="17">
                  <c:v>3.770830118314867E-4</c:v>
                </c:pt>
                <c:pt idx="18">
                  <c:v>3.9891548572002899E-4</c:v>
                </c:pt>
                <c:pt idx="19">
                  <c:v>4.2104868270909367E-4</c:v>
                </c:pt>
                <c:pt idx="20">
                  <c:v>4.4351376256361564E-4</c:v>
                </c:pt>
                <c:pt idx="21">
                  <c:v>4.6634188504853137E-4</c:v>
                </c:pt>
                <c:pt idx="22">
                  <c:v>4.8956420992877559E-4</c:v>
                </c:pt>
                <c:pt idx="23">
                  <c:v>5.1321189696928624E-4</c:v>
                </c:pt>
                <c:pt idx="24">
                  <c:v>5.373161059349993E-4</c:v>
                </c:pt>
                <c:pt idx="25">
                  <c:v>5.6190799659084777E-4</c:v>
                </c:pt>
                <c:pt idx="26">
                  <c:v>5.8701872870177104E-4</c:v>
                </c:pt>
                <c:pt idx="27">
                  <c:v>6.1267946203270342E-4</c:v>
                </c:pt>
                <c:pt idx="28">
                  <c:v>6.4209056026016508E-4</c:v>
                </c:pt>
                <c:pt idx="29">
                  <c:v>6.7324331745359186E-4</c:v>
                </c:pt>
                <c:pt idx="30">
                  <c:v>7.0513215674735058E-4</c:v>
                </c:pt>
                <c:pt idx="31">
                  <c:v>7.3794508385239752E-4</c:v>
                </c:pt>
                <c:pt idx="32">
                  <c:v>7.7159549451321393E-4</c:v>
                </c:pt>
                <c:pt idx="33">
                  <c:v>8.0600355804799617E-4</c:v>
                </c:pt>
                <c:pt idx="34">
                  <c:v>8.4109849148367351E-4</c:v>
                </c:pt>
                <c:pt idx="35">
                  <c:v>8.7680979243708393E-4</c:v>
                </c:pt>
                <c:pt idx="36">
                  <c:v>9.1305460444414096E-4</c:v>
                </c:pt>
                <c:pt idx="37">
                  <c:v>9.4975992792125578E-4</c:v>
                </c:pt>
                <c:pt idx="38">
                  <c:v>9.8686235522732284E-4</c:v>
                </c:pt>
                <c:pt idx="39">
                  <c:v>1.0242998166820549E-3</c:v>
                </c:pt>
                <c:pt idx="40">
                  <c:v>1.0620014305302657E-3</c:v>
                </c:pt>
                <c:pt idx="41">
                  <c:v>1.099907397411013E-3</c:v>
                </c:pt>
                <c:pt idx="42">
                  <c:v>1.1379663501487427E-3</c:v>
                </c:pt>
                <c:pt idx="43">
                  <c:v>1.1761286919539189E-3</c:v>
                </c:pt>
                <c:pt idx="44">
                  <c:v>1.2143398218707076E-3</c:v>
                </c:pt>
                <c:pt idx="45">
                  <c:v>1.2525547284892341E-3</c:v>
                </c:pt>
                <c:pt idx="46">
                  <c:v>1.2907356263386727E-3</c:v>
                </c:pt>
                <c:pt idx="47">
                  <c:v>1.3288466567243297E-3</c:v>
                </c:pt>
                <c:pt idx="48">
                  <c:v>1.3668483734969115E-3</c:v>
                </c:pt>
                <c:pt idx="49">
                  <c:v>1.4047102788769766E-3</c:v>
                </c:pt>
                <c:pt idx="50">
                  <c:v>1.4424067113962226E-3</c:v>
                </c:pt>
                <c:pt idx="51">
                  <c:v>1.4799135443590704E-3</c:v>
                </c:pt>
                <c:pt idx="52">
                  <c:v>1.5172059086538919E-3</c:v>
                </c:pt>
                <c:pt idx="53">
                  <c:v>1.5542633800237023E-3</c:v>
                </c:pt>
                <c:pt idx="54">
                  <c:v>1.5910691743257674E-3</c:v>
                </c:pt>
                <c:pt idx="55">
                  <c:v>1.6276077514659367E-3</c:v>
                </c:pt>
                <c:pt idx="56">
                  <c:v>1.663863139367075E-3</c:v>
                </c:pt>
                <c:pt idx="57">
                  <c:v>1.6998235036249081E-3</c:v>
                </c:pt>
                <c:pt idx="58">
                  <c:v>1.7354791101059355E-3</c:v>
                </c:pt>
                <c:pt idx="59">
                  <c:v>1.7708210106221975E-3</c:v>
                </c:pt>
                <c:pt idx="60">
                  <c:v>1.8058394188429946E-3</c:v>
                </c:pt>
                <c:pt idx="61">
                  <c:v>1.8405274456545649E-3</c:v>
                </c:pt>
                <c:pt idx="62">
                  <c:v>1.8748793835295242E-3</c:v>
                </c:pt>
                <c:pt idx="63">
                  <c:v>1.9088900228498593E-3</c:v>
                </c:pt>
                <c:pt idx="64">
                  <c:v>1.9425544158062638E-3</c:v>
                </c:pt>
                <c:pt idx="65">
                  <c:v>1.9758690099810914E-3</c:v>
                </c:pt>
                <c:pt idx="66">
                  <c:v>2.0088307481231035E-3</c:v>
                </c:pt>
                <c:pt idx="67">
                  <c:v>2.0414367681067039E-3</c:v>
                </c:pt>
                <c:pt idx="68">
                  <c:v>2.0736845965972396E-3</c:v>
                </c:pt>
                <c:pt idx="69">
                  <c:v>2.1055727769337309E-3</c:v>
                </c:pt>
                <c:pt idx="70">
                  <c:v>2.1371000228166564E-3</c:v>
                </c:pt>
                <c:pt idx="71">
                  <c:v>2.1682651433970316E-3</c:v>
                </c:pt>
                <c:pt idx="72">
                  <c:v>2.1990678596527278E-3</c:v>
                </c:pt>
                <c:pt idx="73">
                  <c:v>2.2295076161562145E-3</c:v>
                </c:pt>
                <c:pt idx="74">
                  <c:v>2.2595842999424518E-3</c:v>
                </c:pt>
                <c:pt idx="75">
                  <c:v>2.2892981023242042E-3</c:v>
                </c:pt>
                <c:pt idx="76">
                  <c:v>2.3186496459602331E-3</c:v>
                </c:pt>
                <c:pt idx="77">
                  <c:v>2.3476398297825043E-3</c:v>
                </c:pt>
                <c:pt idx="78">
                  <c:v>2.3762696963771594E-3</c:v>
                </c:pt>
                <c:pt idx="79">
                  <c:v>2.4045404966409165E-3</c:v>
                </c:pt>
                <c:pt idx="80">
                  <c:v>2.4324541687211505E-3</c:v>
                </c:pt>
                <c:pt idx="81">
                  <c:v>2.4600126734944886E-3</c:v>
                </c:pt>
                <c:pt idx="82">
                  <c:v>2.487218095660818E-3</c:v>
                </c:pt>
                <c:pt idx="83">
                  <c:v>2.5140727920548731E-3</c:v>
                </c:pt>
                <c:pt idx="84">
                  <c:v>2.5405800748914587E-3</c:v>
                </c:pt>
                <c:pt idx="85">
                  <c:v>2.5667431232351506E-3</c:v>
                </c:pt>
                <c:pt idx="86">
                  <c:v>2.5925652013516574E-3</c:v>
                </c:pt>
                <c:pt idx="87">
                  <c:v>2.618049912484433E-3</c:v>
                </c:pt>
                <c:pt idx="88">
                  <c:v>2.643202052074441E-3</c:v>
                </c:pt>
                <c:pt idx="89">
                  <c:v>2.6680261165464604E-3</c:v>
                </c:pt>
                <c:pt idx="90">
                  <c:v>2.6925266135820075E-3</c:v>
                </c:pt>
                <c:pt idx="91">
                  <c:v>2.716708432318778E-3</c:v>
                </c:pt>
                <c:pt idx="92">
                  <c:v>2.7405779412241361E-3</c:v>
                </c:pt>
                <c:pt idx="93">
                  <c:v>2.7641409121608148E-3</c:v>
                </c:pt>
                <c:pt idx="94">
                  <c:v>2.787403059817296E-3</c:v>
                </c:pt>
                <c:pt idx="95">
                  <c:v>2.8103705204722451E-3</c:v>
                </c:pt>
                <c:pt idx="96">
                  <c:v>2.833051069581346E-3</c:v>
                </c:pt>
                <c:pt idx="97">
                  <c:v>2.8554515736282284E-3</c:v>
                </c:pt>
                <c:pt idx="98">
                  <c:v>2.8775787587825069E-3</c:v>
                </c:pt>
                <c:pt idx="99">
                  <c:v>2.8994397819108878E-3</c:v>
                </c:pt>
                <c:pt idx="100">
                  <c:v>2.9210434883558383E-3</c:v>
                </c:pt>
                <c:pt idx="101">
                  <c:v>2.9423974906752446E-3</c:v>
                </c:pt>
                <c:pt idx="102">
                  <c:v>2.9635091818103988E-3</c:v>
                </c:pt>
                <c:pt idx="103">
                  <c:v>2.9843863660359619E-3</c:v>
                </c:pt>
                <c:pt idx="104">
                  <c:v>3.005038474335457E-3</c:v>
                </c:pt>
                <c:pt idx="105">
                  <c:v>3.0254734252136263E-3</c:v>
                </c:pt>
                <c:pt idx="106">
                  <c:v>3.0456988486640222E-3</c:v>
                </c:pt>
                <c:pt idx="107">
                  <c:v>3.0657227377704024E-3</c:v>
                </c:pt>
                <c:pt idx="108">
                  <c:v>3.0855545307376087E-3</c:v>
                </c:pt>
                <c:pt idx="109">
                  <c:v>3.1052019761596598E-3</c:v>
                </c:pt>
                <c:pt idx="110">
                  <c:v>3.1246724849003931E-3</c:v>
                </c:pt>
                <c:pt idx="111">
                  <c:v>3.1439737612695353E-3</c:v>
                </c:pt>
                <c:pt idx="112">
                  <c:v>3.1631146776001534E-3</c:v>
                </c:pt>
                <c:pt idx="113">
                  <c:v>3.1821023645129802E-3</c:v>
                </c:pt>
                <c:pt idx="114">
                  <c:v>3.2009435857366327E-3</c:v>
                </c:pt>
                <c:pt idx="115">
                  <c:v>3.2196453085049557E-3</c:v>
                </c:pt>
                <c:pt idx="116">
                  <c:v>3.2382153581243431E-3</c:v>
                </c:pt>
                <c:pt idx="117">
                  <c:v>3.2566598782281186E-3</c:v>
                </c:pt>
                <c:pt idx="118">
                  <c:v>3.2749846525076004E-3</c:v>
                </c:pt>
                <c:pt idx="119">
                  <c:v>3.2931955864615005E-3</c:v>
                </c:pt>
                <c:pt idx="120">
                  <c:v>3.3112991271180506E-3</c:v>
                </c:pt>
                <c:pt idx="121">
                  <c:v>3.3293002329150036E-3</c:v>
                </c:pt>
                <c:pt idx="122">
                  <c:v>3.3472035360989291E-3</c:v>
                </c:pt>
                <c:pt idx="123">
                  <c:v>3.3650137205358012E-3</c:v>
                </c:pt>
                <c:pt idx="124">
                  <c:v>3.3827357710956452E-3</c:v>
                </c:pt>
                <c:pt idx="125">
                  <c:v>3.4003734560544441E-3</c:v>
                </c:pt>
                <c:pt idx="126">
                  <c:v>3.4179302776550886E-3</c:v>
                </c:pt>
                <c:pt idx="127">
                  <c:v>3.4354097514871611E-3</c:v>
                </c:pt>
                <c:pt idx="128">
                  <c:v>3.4528155543632959E-3</c:v>
                </c:pt>
                <c:pt idx="129">
                  <c:v>3.4701504456647698E-3</c:v>
                </c:pt>
                <c:pt idx="130">
                  <c:v>3.4874169928732295E-3</c:v>
                </c:pt>
                <c:pt idx="131">
                  <c:v>3.5046177753864233E-3</c:v>
                </c:pt>
                <c:pt idx="132">
                  <c:v>3.5217554853501191E-3</c:v>
                </c:pt>
                <c:pt idx="133">
                  <c:v>3.5388321621486057E-3</c:v>
                </c:pt>
                <c:pt idx="134">
                  <c:v>3.5558497231959864E-3</c:v>
                </c:pt>
                <c:pt idx="135">
                  <c:v>3.5728101214296025E-3</c:v>
                </c:pt>
                <c:pt idx="136">
                  <c:v>3.5897154294070037E-3</c:v>
                </c:pt>
                <c:pt idx="137">
                  <c:v>3.6065672586274083E-3</c:v>
                </c:pt>
                <c:pt idx="138">
                  <c:v>3.6233671504199956E-3</c:v>
                </c:pt>
                <c:pt idx="139">
                  <c:v>3.6401167059220375E-3</c:v>
                </c:pt>
                <c:pt idx="140">
                  <c:v>3.6568177564401082E-3</c:v>
                </c:pt>
                <c:pt idx="141">
                  <c:v>3.6734716823044002E-3</c:v>
                </c:pt>
                <c:pt idx="142">
                  <c:v>3.6900798290950988E-3</c:v>
                </c:pt>
                <c:pt idx="143">
                  <c:v>3.7066436450029334E-3</c:v>
                </c:pt>
                <c:pt idx="144">
                  <c:v>3.7231647561068518E-3</c:v>
                </c:pt>
                <c:pt idx="145">
                  <c:v>3.739644460014901E-3</c:v>
                </c:pt>
                <c:pt idx="146">
                  <c:v>3.7560840574089238E-3</c:v>
                </c:pt>
                <c:pt idx="147">
                  <c:v>3.7724850265135382E-3</c:v>
                </c:pt>
                <c:pt idx="148">
                  <c:v>3.7888487851135372E-3</c:v>
                </c:pt>
                <c:pt idx="149">
                  <c:v>3.8051765871853081E-3</c:v>
                </c:pt>
                <c:pt idx="150">
                  <c:v>3.8214696746093832E-3</c:v>
                </c:pt>
                <c:pt idx="151">
                  <c:v>3.8377293973464628E-3</c:v>
                </c:pt>
                <c:pt idx="152">
                  <c:v>3.8539573112280593E-3</c:v>
                </c:pt>
                <c:pt idx="153">
                  <c:v>3.8701545289604265E-3</c:v>
                </c:pt>
                <c:pt idx="154">
                  <c:v>3.8863221535854484E-3</c:v>
                </c:pt>
                <c:pt idx="155">
                  <c:v>3.9024614373859424E-3</c:v>
                </c:pt>
                <c:pt idx="156">
                  <c:v>3.9185737111476285E-3</c:v>
                </c:pt>
                <c:pt idx="157">
                  <c:v>3.9346600654041721E-3</c:v>
                </c:pt>
                <c:pt idx="158">
                  <c:v>3.9507215333573799E-3</c:v>
                </c:pt>
                <c:pt idx="159">
                  <c:v>3.9667591525881854E-3</c:v>
                </c:pt>
                <c:pt idx="160">
                  <c:v>3.9827740582269993E-3</c:v>
                </c:pt>
                <c:pt idx="161">
                  <c:v>3.9987671306501342E-3</c:v>
                </c:pt>
                <c:pt idx="162">
                  <c:v>4.0147392162251053E-3</c:v>
                </c:pt>
                <c:pt idx="163">
                  <c:v>4.0306911948712028E-3</c:v>
                </c:pt>
                <c:pt idx="164">
                  <c:v>4.0466241743376506E-3</c:v>
                </c:pt>
                <c:pt idx="165">
                  <c:v>4.0625388013308689E-3</c:v>
                </c:pt>
                <c:pt idx="166">
                  <c:v>4.0784356594109816E-3</c:v>
                </c:pt>
                <c:pt idx="167">
                  <c:v>4.0943153262021879E-3</c:v>
                </c:pt>
                <c:pt idx="168">
                  <c:v>4.1101785649861481E-3</c:v>
                </c:pt>
                <c:pt idx="169">
                  <c:v>4.1260257304929562E-3</c:v>
                </c:pt>
                <c:pt idx="170">
                  <c:v>4.1418571704787029E-3</c:v>
                </c:pt>
                <c:pt idx="171">
                  <c:v>4.1576733562346127E-3</c:v>
                </c:pt>
                <c:pt idx="172">
                  <c:v>4.1734749012101542E-3</c:v>
                </c:pt>
                <c:pt idx="173">
                  <c:v>4.1892621074026016E-3</c:v>
                </c:pt>
                <c:pt idx="174">
                  <c:v>4.2050351770760736E-3</c:v>
                </c:pt>
                <c:pt idx="175">
                  <c:v>4.2207941265894767E-3</c:v>
                </c:pt>
                <c:pt idx="176">
                  <c:v>4.2365391957586368E-3</c:v>
                </c:pt>
                <c:pt idx="177">
                  <c:v>4.2522705236914026E-3</c:v>
                </c:pt>
                <c:pt idx="178">
                  <c:v>4.2679882298605528E-3</c:v>
                </c:pt>
                <c:pt idx="179">
                  <c:v>4.2836924056671522E-3</c:v>
                </c:pt>
                <c:pt idx="180">
                  <c:v>4.2993832307452098E-3</c:v>
                </c:pt>
                <c:pt idx="181">
                  <c:v>4.3150608230593732E-3</c:v>
                </c:pt>
                <c:pt idx="182">
                  <c:v>4.3307252421293648E-3</c:v>
                </c:pt>
                <c:pt idx="183">
                  <c:v>4.3463763716084097E-3</c:v>
                </c:pt>
                <c:pt idx="184">
                  <c:v>4.3620141952762136E-3</c:v>
                </c:pt>
                <c:pt idx="185">
                  <c:v>4.3776387963624522E-3</c:v>
                </c:pt>
                <c:pt idx="186">
                  <c:v>4.3932502034094252E-3</c:v>
                </c:pt>
                <c:pt idx="187">
                  <c:v>4.408848160416692E-3</c:v>
                </c:pt>
                <c:pt idx="188">
                  <c:v>4.4244326517547195E-3</c:v>
                </c:pt>
                <c:pt idx="189">
                  <c:v>4.4400036673400058E-3</c:v>
                </c:pt>
                <c:pt idx="190">
                  <c:v>4.4555611907680891E-3</c:v>
                </c:pt>
                <c:pt idx="191">
                  <c:v>4.4711051747422714E-3</c:v>
                </c:pt>
                <c:pt idx="192">
                  <c:v>4.4866354218658878E-3</c:v>
                </c:pt>
                <c:pt idx="193">
                  <c:v>4.5021519160029066E-3</c:v>
                </c:pt>
                <c:pt idx="194">
                  <c:v>4.517654695711251E-3</c:v>
                </c:pt>
                <c:pt idx="195">
                  <c:v>4.5331439347170693E-3</c:v>
                </c:pt>
                <c:pt idx="196">
                  <c:v>4.5486194162444689E-3</c:v>
                </c:pt>
                <c:pt idx="197">
                  <c:v>4.564080573443618E-3</c:v>
                </c:pt>
                <c:pt idx="198">
                  <c:v>4.5795291803121235E-3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D9-4AC8-9F3C-667F3EA61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923775"/>
        <c:axId val="621683599"/>
      </c:scatterChart>
      <c:valAx>
        <c:axId val="603923775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ptos Light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Red meat intake [g/d]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Light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621683599"/>
        <c:crosses val="autoZero"/>
        <c:crossBetween val="midCat"/>
      </c:valAx>
      <c:valAx>
        <c:axId val="6216835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ptos Light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DALYs/capita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ptos Light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60392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Light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ptos Light" panose="020B00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>
          <a:solidFill>
            <a:schemeClr val="tx1"/>
          </a:solidFill>
          <a:latin typeface="Aptos Light" panose="020B00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'Animal welfare'!I38</c:f>
              <c:strCache>
                <c:ptCount val="1"/>
                <c:pt idx="0">
                  <c:v>Welfare impairments in Nutrition</c:v>
                </c:pt>
              </c:strCache>
            </c:strRef>
          </c:tx>
          <c:spPr>
            <a:solidFill>
              <a:srgbClr val="7E350E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welfare'!J38:N38</c:f>
              <c:numCache>
                <c:formatCode>General</c:formatCode>
                <c:ptCount val="5"/>
                <c:pt idx="0">
                  <c:v>-0.23990000000000003</c:v>
                </c:pt>
                <c:pt idx="1">
                  <c:v>-0.14066666666666663</c:v>
                </c:pt>
                <c:pt idx="2">
                  <c:v>-0.10249999999999999</c:v>
                </c:pt>
                <c:pt idx="3">
                  <c:v>-0.1234086956521739</c:v>
                </c:pt>
                <c:pt idx="4">
                  <c:v>-0.10249999999999999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20-423A-AC66-B4A388CAF03A}"/>
            </c:ext>
          </c:extLst>
        </c:ser>
        <c:ser>
          <c:idx val="4"/>
          <c:order val="1"/>
          <c:tx>
            <c:strRef>
              <c:f>'Animal welfare'!I39</c:f>
              <c:strCache>
                <c:ptCount val="1"/>
                <c:pt idx="0">
                  <c:v>Welfare impairments in Environment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welfare'!J39:N39</c:f>
              <c:numCache>
                <c:formatCode>General</c:formatCode>
                <c:ptCount val="5"/>
                <c:pt idx="0">
                  <c:v>-0.54070000000000007</c:v>
                </c:pt>
                <c:pt idx="1">
                  <c:v>-0.26769999999999999</c:v>
                </c:pt>
                <c:pt idx="2">
                  <c:v>-0.16270000000000001</c:v>
                </c:pt>
                <c:pt idx="3">
                  <c:v>-0.22022173913043477</c:v>
                </c:pt>
                <c:pt idx="4">
                  <c:v>-0.16270000000000001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20-423A-AC66-B4A388CAF03A}"/>
            </c:ext>
          </c:extLst>
        </c:ser>
        <c:ser>
          <c:idx val="5"/>
          <c:order val="2"/>
          <c:tx>
            <c:strRef>
              <c:f>'Animal welfare'!I40</c:f>
              <c:strCache>
                <c:ptCount val="1"/>
                <c:pt idx="0">
                  <c:v>Welfare impairments in Health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welfare'!J40:N40</c:f>
              <c:numCache>
                <c:formatCode>General</c:formatCode>
                <c:ptCount val="5"/>
                <c:pt idx="0">
                  <c:v>-0.29760000000000003</c:v>
                </c:pt>
                <c:pt idx="1">
                  <c:v>-0.12917777777777775</c:v>
                </c:pt>
                <c:pt idx="2">
                  <c:v>-6.4399999999999999E-2</c:v>
                </c:pt>
                <c:pt idx="3">
                  <c:v>-9.9886956521739123E-2</c:v>
                </c:pt>
                <c:pt idx="4">
                  <c:v>-6.4399999999999999E-2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20-423A-AC66-B4A388CAF03A}"/>
            </c:ext>
          </c:extLst>
        </c:ser>
        <c:ser>
          <c:idx val="3"/>
          <c:order val="3"/>
          <c:tx>
            <c:strRef>
              <c:f>'Animal welfare'!I41</c:f>
              <c:strCache>
                <c:ptCount val="1"/>
                <c:pt idx="0">
                  <c:v>Welfare impairments in Behavior</c:v>
                </c:pt>
              </c:strCache>
            </c:strRef>
          </c:tx>
          <c:spPr>
            <a:solidFill>
              <a:srgbClr val="F7C7AC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welfare'!J41:N41</c:f>
              <c:numCache>
                <c:formatCode>General</c:formatCode>
                <c:ptCount val="5"/>
                <c:pt idx="0">
                  <c:v>-0.88060000000000016</c:v>
                </c:pt>
                <c:pt idx="1">
                  <c:v>-0.32752222222222227</c:v>
                </c:pt>
                <c:pt idx="2">
                  <c:v>-0.1148</c:v>
                </c:pt>
                <c:pt idx="3">
                  <c:v>-0.23133478260869567</c:v>
                </c:pt>
                <c:pt idx="4">
                  <c:v>-0.11480000000000001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20-423A-AC66-B4A388CAF03A}"/>
            </c:ext>
          </c:extLst>
        </c:ser>
        <c:ser>
          <c:idx val="0"/>
          <c:order val="4"/>
          <c:tx>
            <c:strRef>
              <c:f>'Animal welfare'!I43</c:f>
              <c:strCache>
                <c:ptCount val="1"/>
                <c:pt idx="0">
                  <c:v>Actual welfare score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welfare'!$J$43:$N$43</c:f>
              <c:numCache>
                <c:formatCode>General</c:formatCode>
                <c:ptCount val="5"/>
                <c:pt idx="0">
                  <c:v>-0.95880000000000021</c:v>
                </c:pt>
                <c:pt idx="1">
                  <c:v>0.13493333333333327</c:v>
                </c:pt>
                <c:pt idx="2">
                  <c:v>0.55560000000000009</c:v>
                </c:pt>
                <c:pt idx="3">
                  <c:v>0.32514782608695647</c:v>
                </c:pt>
                <c:pt idx="4">
                  <c:v>0.55559999999999998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0-423A-AC66-B4A388CAF03A}"/>
            </c:ext>
          </c:extLst>
        </c:ser>
        <c:ser>
          <c:idx val="1"/>
          <c:order val="5"/>
          <c:tx>
            <c:strRef>
              <c:f>'Animal welfare'!I44</c:f>
              <c:strCache>
                <c:ptCount val="1"/>
                <c:pt idx="0">
                  <c:v>Perfect Welfare State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cat>
            <c:strRef>
              <c:f>'Animal welfare'!$J$37:$N$37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Semi-Itensive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welfare'!$J$44:$N$44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20-423A-AC66-B4A388CAF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5506952"/>
        <c:axId val="1481324040"/>
      </c:barChart>
      <c:catAx>
        <c:axId val="29550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24040"/>
        <c:crosses val="autoZero"/>
        <c:auto val="1"/>
        <c:lblAlgn val="ctr"/>
        <c:lblOffset val="100"/>
        <c:noMultiLvlLbl val="0"/>
      </c:catAx>
      <c:valAx>
        <c:axId val="148132404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0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'Animal welfare'!AI39</c:f>
              <c:strCache>
                <c:ptCount val="1"/>
                <c:pt idx="0">
                  <c:v>Lives lost</c:v>
                </c:pt>
              </c:strCache>
            </c:strRef>
          </c:tx>
          <c:spPr>
            <a:solidFill>
              <a:srgbClr val="94DCF8"/>
            </a:solidFill>
            <a:ln>
              <a:noFill/>
            </a:ln>
            <a:effectLst/>
          </c:spPr>
          <c:invertIfNegative val="0"/>
          <c:cat>
            <c:strRef>
              <c:f>'Animal welfare'!AJ24:AN24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Semi-Intensive 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welfare'!$AJ$39:$AN$39</c:f>
              <c:numCache>
                <c:formatCode>General</c:formatCode>
                <c:ptCount val="5"/>
                <c:pt idx="0">
                  <c:v>8.8634863478086121</c:v>
                </c:pt>
                <c:pt idx="1">
                  <c:v>8.4606006047264017</c:v>
                </c:pt>
                <c:pt idx="2">
                  <c:v>7.0468379062742841</c:v>
                </c:pt>
                <c:pt idx="3">
                  <c:v>7.6747739573284282</c:v>
                </c:pt>
                <c:pt idx="4">
                  <c:v>6.1190765335456385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A-4135-A194-E74423B58DB2}"/>
            </c:ext>
          </c:extLst>
        </c:ser>
        <c:ser>
          <c:idx val="1"/>
          <c:order val="1"/>
          <c:tx>
            <c:strRef>
              <c:f>'Animal welfare'!AI40</c:f>
              <c:strCache>
                <c:ptCount val="1"/>
                <c:pt idx="0">
                  <c:v>Lives with disability</c:v>
                </c:pt>
              </c:strCache>
            </c:strRef>
          </c:tx>
          <c:spPr>
            <a:solidFill>
              <a:srgbClr val="47D359"/>
            </a:solidFill>
            <a:ln>
              <a:noFill/>
            </a:ln>
            <a:effectLst/>
          </c:spPr>
          <c:invertIfNegative val="0"/>
          <c:cat>
            <c:strRef>
              <c:f>'Animal welfare'!AJ24:AN24</c:f>
              <c:strCache>
                <c:ptCount val="5"/>
                <c:pt idx="0">
                  <c:v>Intensive - Switzerland</c:v>
                </c:pt>
                <c:pt idx="1">
                  <c:v>Semi-Intensive - Switzerland</c:v>
                </c:pt>
                <c:pt idx="2">
                  <c:v>Extensive - Switzerland</c:v>
                </c:pt>
                <c:pt idx="3">
                  <c:v>Semi-Intensive  - Uruguay</c:v>
                </c:pt>
                <c:pt idx="4">
                  <c:v>Extensive - Uruguay</c:v>
                </c:pt>
              </c:strCache>
            </c:strRef>
          </c:cat>
          <c:val>
            <c:numRef>
              <c:f>'Animal welfare'!$AJ$40:$AN$40</c:f>
              <c:numCache>
                <c:formatCode>General</c:formatCode>
                <c:ptCount val="5"/>
                <c:pt idx="0">
                  <c:v>3.2230859446576767</c:v>
                </c:pt>
                <c:pt idx="1">
                  <c:v>0.58178815549750462</c:v>
                </c:pt>
                <c:pt idx="2">
                  <c:v>1.6046411165732983E-2</c:v>
                </c:pt>
                <c:pt idx="3">
                  <c:v>0.42803800008044524</c:v>
                </c:pt>
                <c:pt idx="4">
                  <c:v>1.2998737322306192E-2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2A-4135-A194-E74423B58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5428103"/>
        <c:axId val="1135430151"/>
      </c:barChart>
      <c:catAx>
        <c:axId val="1135428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430151"/>
        <c:crosses val="autoZero"/>
        <c:auto val="1"/>
        <c:lblAlgn val="ctr"/>
        <c:lblOffset val="100"/>
        <c:noMultiLvlLbl val="0"/>
      </c:catAx>
      <c:valAx>
        <c:axId val="1135430151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[CHF/kg]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42810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24</xdr:row>
      <xdr:rowOff>9525</xdr:rowOff>
    </xdr:from>
    <xdr:to>
      <xdr:col>10</xdr:col>
      <xdr:colOff>523875</xdr:colOff>
      <xdr:row>43</xdr:row>
      <xdr:rowOff>152400</xdr:rowOff>
    </xdr:to>
    <xdr:graphicFrame macro="">
      <xdr:nvGraphicFramePr>
        <xdr:cNvPr id="3" name="Graphique 1">
          <a:extLst>
            <a:ext uri="{FF2B5EF4-FFF2-40B4-BE49-F238E27FC236}">
              <a16:creationId xmlns:a16="http://schemas.microsoft.com/office/drawing/2014/main" id="{3E006D1D-E645-CAB1-88C2-162871CAB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47</xdr:row>
      <xdr:rowOff>161925</xdr:rowOff>
    </xdr:from>
    <xdr:to>
      <xdr:col>10</xdr:col>
      <xdr:colOff>533400</xdr:colOff>
      <xdr:row>67</xdr:row>
      <xdr:rowOff>104775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9F0B5F5-5CF4-4273-A951-021D5023BEAA}"/>
            </a:ext>
            <a:ext uri="{147F2762-F138-4A5C-976F-8EAC2B608ADB}">
              <a16:predDERef xmlns:a16="http://schemas.microsoft.com/office/drawing/2014/main" pred="{3E006D1D-E645-CAB1-88C2-162871CAB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676275</xdr:colOff>
      <xdr:row>93</xdr:row>
      <xdr:rowOff>104775</xdr:rowOff>
    </xdr:from>
    <xdr:to>
      <xdr:col>10</xdr:col>
      <xdr:colOff>381000</xdr:colOff>
      <xdr:row>113</xdr:row>
      <xdr:rowOff>47625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A48C68A-5366-4117-AE50-7860436663C3}"/>
            </a:ext>
            <a:ext uri="{147F2762-F138-4A5C-976F-8EAC2B608ADB}">
              <a16:predDERef xmlns:a16="http://schemas.microsoft.com/office/drawing/2014/main" pred="{99F0B5F5-5CF4-4273-A951-021D5023B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95250</xdr:colOff>
      <xdr:row>3</xdr:row>
      <xdr:rowOff>95250</xdr:rowOff>
    </xdr:from>
    <xdr:to>
      <xdr:col>10</xdr:col>
      <xdr:colOff>590550</xdr:colOff>
      <xdr:row>21</xdr:row>
      <xdr:rowOff>142875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152F364-E3C7-4925-86C6-AB9807D2E3A2}"/>
            </a:ext>
            <a:ext uri="{147F2762-F138-4A5C-976F-8EAC2B608ADB}">
              <a16:predDERef xmlns:a16="http://schemas.microsoft.com/office/drawing/2014/main" pred="{1A48C68A-5366-4117-AE50-786043666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13</xdr:col>
      <xdr:colOff>114300</xdr:colOff>
      <xdr:row>89</xdr:row>
      <xdr:rowOff>9525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BC35B6C-3FA9-4185-9E44-64308EE4AE35}"/>
            </a:ext>
            <a:ext uri="{147F2762-F138-4A5C-976F-8EAC2B608ADB}">
              <a16:predDERef xmlns:a16="http://schemas.microsoft.com/office/drawing/2014/main" pred="{E152F364-E3C7-4925-86C6-AB9807D2E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14</xdr:col>
      <xdr:colOff>9525</xdr:colOff>
      <xdr:row>131</xdr:row>
      <xdr:rowOff>9525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2375E2E-1D6C-4A56-ABAF-D814E27EF0B3}"/>
            </a:ext>
            <a:ext uri="{147F2762-F138-4A5C-976F-8EAC2B608ADB}">
              <a16:predDERef xmlns:a16="http://schemas.microsoft.com/office/drawing/2014/main" pred="{9BC35B6C-3FA9-4185-9E44-64308EE4A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0.66317</cdr:x>
      <cdr:y>0.21178</cdr:y>
    </cdr:from>
    <cdr:to>
      <cdr:x>0.99363</cdr:x>
      <cdr:y>0.27829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D67513EE-2F5E-73C6-BFD0-CEBFA990EA76}"/>
            </a:ext>
          </a:extLst>
        </cdr:cNvPr>
        <cdr:cNvSpPr txBox="1"/>
      </cdr:nvSpPr>
      <cdr:spPr>
        <a:xfrm xmlns:a="http://schemas.openxmlformats.org/drawingml/2006/main">
          <a:off x="5312034" y="761194"/>
          <a:ext cx="2647012" cy="239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rgbClr val="000000"/>
              </a:solidFill>
              <a:latin typeface="Aptos Light" panose="020B0004020202020204" pitchFamily="34" charset="0"/>
            </a:rPr>
            <a:t>0.0028ln(x) - 0.0077, R² = 0.9765</a:t>
          </a:r>
          <a:endParaRPr lang="en-US" sz="1000" b="0" i="0">
            <a:solidFill>
              <a:srgbClr val="000000"/>
            </a:solidFill>
            <a:latin typeface="Aptos Light" panose="020B0004020202020204" pitchFamily="34" charset="0"/>
          </a:endParaRPr>
        </a:p>
        <a:p xmlns:a="http://schemas.openxmlformats.org/drawingml/2006/main">
          <a:endParaRPr lang="fr-FR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781050</xdr:colOff>
      <xdr:row>219</xdr:row>
      <xdr:rowOff>161925</xdr:rowOff>
    </xdr:from>
    <xdr:to>
      <xdr:col>19</xdr:col>
      <xdr:colOff>828675</xdr:colOff>
      <xdr:row>236</xdr:row>
      <xdr:rowOff>171450</xdr:rowOff>
    </xdr:to>
    <xdr:graphicFrame macro="">
      <xdr:nvGraphicFramePr>
        <xdr:cNvPr id="2" name="Graphique 5">
          <a:extLst>
            <a:ext uri="{FF2B5EF4-FFF2-40B4-BE49-F238E27FC236}">
              <a16:creationId xmlns:a16="http://schemas.microsoft.com/office/drawing/2014/main" id="{03CE050C-4AFB-4F8B-BEB6-29873BAF2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255</xdr:row>
      <xdr:rowOff>0</xdr:rowOff>
    </xdr:from>
    <xdr:to>
      <xdr:col>20</xdr:col>
      <xdr:colOff>47625</xdr:colOff>
      <xdr:row>272</xdr:row>
      <xdr:rowOff>9525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59FC347-26A7-4A5E-8499-9CBFB71AF919}"/>
            </a:ext>
            <a:ext uri="{147F2762-F138-4A5C-976F-8EAC2B608ADB}">
              <a16:predDERef xmlns:a16="http://schemas.microsoft.com/office/drawing/2014/main" pred="{03CE050C-4AFB-4F8B-BEB6-29873BAF2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0.66317</cdr:x>
      <cdr:y>0.21178</cdr:y>
    </cdr:from>
    <cdr:to>
      <cdr:x>0.99363</cdr:x>
      <cdr:y>0.27829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D67513EE-2F5E-73C6-BFD0-CEBFA990EA76}"/>
            </a:ext>
          </a:extLst>
        </cdr:cNvPr>
        <cdr:cNvSpPr txBox="1"/>
      </cdr:nvSpPr>
      <cdr:spPr>
        <a:xfrm xmlns:a="http://schemas.openxmlformats.org/drawingml/2006/main">
          <a:off x="5312034" y="761194"/>
          <a:ext cx="2647012" cy="239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rgbClr val="000000"/>
              </a:solidFill>
              <a:latin typeface="Aptos Light" panose="020B0004020202020204" pitchFamily="34" charset="0"/>
            </a:rPr>
            <a:t>0.0028ln(x) - 0.0077, R² = 0.9765</a:t>
          </a:r>
          <a:endParaRPr lang="en-US" sz="1000" b="0" i="0">
            <a:solidFill>
              <a:srgbClr val="000000"/>
            </a:solidFill>
            <a:latin typeface="Aptos Light" panose="020B0004020202020204" pitchFamily="34" charset="0"/>
          </a:endParaRPr>
        </a:p>
        <a:p xmlns:a="http://schemas.openxmlformats.org/drawingml/2006/main">
          <a:endParaRPr lang="fr-FR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0.66317</cdr:x>
      <cdr:y>0.21178</cdr:y>
    </cdr:from>
    <cdr:to>
      <cdr:x>0.99363</cdr:x>
      <cdr:y>0.27829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D67513EE-2F5E-73C6-BFD0-CEBFA990EA76}"/>
            </a:ext>
          </a:extLst>
        </cdr:cNvPr>
        <cdr:cNvSpPr txBox="1"/>
      </cdr:nvSpPr>
      <cdr:spPr>
        <a:xfrm xmlns:a="http://schemas.openxmlformats.org/drawingml/2006/main">
          <a:off x="5312034" y="761194"/>
          <a:ext cx="2647012" cy="239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rgbClr val="000000"/>
              </a:solidFill>
              <a:latin typeface="Aptos Light" panose="020B0004020202020204" pitchFamily="34" charset="0"/>
            </a:rPr>
            <a:t>0.0028ln(x) - 0.0077, R² = 0.9765</a:t>
          </a:r>
          <a:endParaRPr lang="en-US" sz="1000" b="0" i="0">
            <a:solidFill>
              <a:srgbClr val="000000"/>
            </a:solidFill>
            <a:latin typeface="Aptos Light" panose="020B0004020202020204" pitchFamily="34" charset="0"/>
          </a:endParaRPr>
        </a:p>
        <a:p xmlns:a="http://schemas.openxmlformats.org/drawingml/2006/main">
          <a:endParaRPr lang="fr-FR" sz="1100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49</xdr:row>
      <xdr:rowOff>47625</xdr:rowOff>
    </xdr:from>
    <xdr:to>
      <xdr:col>12</xdr:col>
      <xdr:colOff>1209675</xdr:colOff>
      <xdr:row>65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6911C50-1D16-E2C7-600F-7F8E42653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57150</xdr:colOff>
      <xdr:row>41</xdr:row>
      <xdr:rowOff>85725</xdr:rowOff>
    </xdr:from>
    <xdr:to>
      <xdr:col>39</xdr:col>
      <xdr:colOff>1419225</xdr:colOff>
      <xdr:row>59</xdr:row>
      <xdr:rowOff>133350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40E105E-7CFC-FA61-0F78-1EE69745B840}"/>
            </a:ext>
            <a:ext uri="{147F2762-F138-4A5C-976F-8EAC2B608ADB}">
              <a16:predDERef xmlns:a16="http://schemas.microsoft.com/office/drawing/2014/main" pred="{86911C50-1D16-E2C7-600F-7F8E42653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knowledge.fao.org/items/05ea9fcc-c0ff-459c-b40e-0883e59c9b1a" TargetMode="External"/><Relationship Id="rId2" Type="http://schemas.openxmlformats.org/officeDocument/2006/relationships/hyperlink" Target="https://www.agroscope.ch/livre-vert" TargetMode="External"/><Relationship Id="rId1" Type="http://schemas.openxmlformats.org/officeDocument/2006/relationships/hyperlink" Target="https://www.ccacoalition.org/resources/low-emissions-development-beef-cattle-sector-urugua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ilostat.ilo.org/data/?cat_mode=subject" TargetMode="External"/><Relationship Id="rId13" Type="http://schemas.openxmlformats.org/officeDocument/2006/relationships/hyperlink" Target="https://www.gub.uy/ministerio-desarrollo-social/comunicacion/publicaciones/codigo-ninez-adolescencia-ley-17823" TargetMode="External"/><Relationship Id="rId3" Type="http://schemas.openxmlformats.org/officeDocument/2006/relationships/hyperlink" Target="https://srl.lu.ch/app/de/texts_of_law/854a" TargetMode="External"/><Relationship Id="rId7" Type="http://schemas.openxmlformats.org/officeDocument/2006/relationships/hyperlink" Target="https://travail-emploi.gouv.fr/droit-du-travail/duree-et-temps-de-travail" TargetMode="External"/><Relationship Id="rId12" Type="http://schemas.openxmlformats.org/officeDocument/2006/relationships/hyperlink" Target="https://www.impo.com.uy/bases/leyes/16713-1995" TargetMode="External"/><Relationship Id="rId17" Type="http://schemas.openxmlformats.org/officeDocument/2006/relationships/hyperlink" Target="https://data.worldbank.org/indicator/SL.TLF.0714.WK.TM?most_recent_value_desc=false" TargetMode="External"/><Relationship Id="rId2" Type="http://schemas.openxmlformats.org/officeDocument/2006/relationships/hyperlink" Target="https://www.fr.ch/document/70336" TargetMode="External"/><Relationship Id="rId16" Type="http://schemas.openxmlformats.org/officeDocument/2006/relationships/hyperlink" Target="https://www.dol.gov/agencies/ilab/resources/reports/child-labor/uruguay" TargetMode="External"/><Relationship Id="rId1" Type="http://schemas.openxmlformats.org/officeDocument/2006/relationships/hyperlink" Target="https://www.vd.ch/fileadmin/user_upload/organisation/dec/sde/fichiers_pdf/CT-agriculture.pdf" TargetMode="External"/><Relationship Id="rId6" Type="http://schemas.openxmlformats.org/officeDocument/2006/relationships/hyperlink" Target="https://www.isagri.fr/ressources/articles/ugb-unites" TargetMode="External"/><Relationship Id="rId11" Type="http://schemas.openxmlformats.org/officeDocument/2006/relationships/hyperlink" Target="https://normlex.ilo.org/dyn/nrmlx_en/f?p=NORMLEXPUB:12100:0::NO::P12100_ILO_CODE:C183" TargetMode="External"/><Relationship Id="rId5" Type="http://schemas.openxmlformats.org/officeDocument/2006/relationships/hyperlink" Target="https://www.belex.sites.be.ch/app/fr/texts_of_law/222.153.21" TargetMode="External"/><Relationship Id="rId15" Type="http://schemas.openxmlformats.org/officeDocument/2006/relationships/hyperlink" Target="https://statistics.cepal.org/portal/cepalstat/" TargetMode="External"/><Relationship Id="rId10" Type="http://schemas.openxmlformats.org/officeDocument/2006/relationships/hyperlink" Target="https://ec.europa.eu/eurostat/databrowser/view/lfsi_dwl_a__custom_22774658/default/table" TargetMode="External"/><Relationship Id="rId4" Type="http://schemas.openxmlformats.org/officeDocument/2006/relationships/hyperlink" Target="https://www.gesetzessammlung.sg.ch/app/de/texts_of_law/513.2" TargetMode="External"/><Relationship Id="rId9" Type="http://schemas.openxmlformats.org/officeDocument/2006/relationships/hyperlink" Target="https://worldpopulationreview.com/country-rankings/total-fertility-rate" TargetMode="External"/><Relationship Id="rId14" Type="http://schemas.openxmlformats.org/officeDocument/2006/relationships/hyperlink" Target="https://www.gub.uy/instituto-nacional-estadistica/comunicacion/publicaciones/encuesta-nacional-sobre-actividades-ninas-ninos-adolescentes-ensann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idriss.komi@unisant&#233;.ch,%20ORCID:%200009-0008-1662-8368" TargetMode="External"/><Relationship Id="rId2" Type="http://schemas.openxmlformats.org/officeDocument/2006/relationships/hyperlink" Target="https://globaldietarydatabase.org/complete-survey-metadata" TargetMode="External"/><Relationship Id="rId1" Type="http://schemas.openxmlformats.org/officeDocument/2006/relationships/hyperlink" Target="https://vizhub.healthdata.org/gbd-results/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opendata.swiss/fr/dataset/menuch-%20portionsgrossen/resource/34a6986a-%20e880-%20428d-%20beaa-%20e96db77001f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73D4-4E96-E648-B31B-05F1CA150377}">
  <sheetPr>
    <tabColor theme="0"/>
  </sheetPr>
  <dimension ref="B2:K49"/>
  <sheetViews>
    <sheetView topLeftCell="A10" workbookViewId="0">
      <selection activeCell="F31" sqref="F31"/>
    </sheetView>
  </sheetViews>
  <sheetFormatPr defaultColWidth="11" defaultRowHeight="15.95"/>
  <cols>
    <col min="2" max="2" width="14" customWidth="1"/>
    <col min="3" max="3" width="31.125" customWidth="1"/>
    <col min="4" max="4" width="13.875" customWidth="1"/>
    <col min="5" max="5" width="18.125" customWidth="1"/>
    <col min="6" max="6" width="22.875" customWidth="1"/>
    <col min="7" max="7" width="26.625" customWidth="1"/>
    <col min="8" max="8" width="23" customWidth="1"/>
    <col min="9" max="9" width="22.125" customWidth="1"/>
    <col min="10" max="10" width="17.625" customWidth="1"/>
    <col min="11" max="11" width="43.375" customWidth="1"/>
  </cols>
  <sheetData>
    <row r="2" spans="2:11" ht="21.95">
      <c r="B2" s="293" t="s">
        <v>0</v>
      </c>
      <c r="C2" s="294"/>
      <c r="D2" s="294"/>
      <c r="E2" s="294"/>
      <c r="F2" s="294"/>
      <c r="G2" s="294"/>
      <c r="H2" s="294"/>
      <c r="I2" s="294"/>
      <c r="J2" s="294"/>
      <c r="K2" s="295"/>
    </row>
    <row r="3" spans="2:11" ht="21">
      <c r="B3" s="207"/>
      <c r="C3" s="207"/>
      <c r="D3" s="207"/>
      <c r="E3" s="207"/>
      <c r="F3" s="207"/>
      <c r="G3" s="207"/>
      <c r="H3" s="207"/>
      <c r="I3" s="207"/>
      <c r="J3" s="207"/>
      <c r="K3" s="207"/>
    </row>
    <row r="4" spans="2:11" ht="15.75">
      <c r="B4" s="155" t="s">
        <v>1</v>
      </c>
    </row>
    <row r="5" spans="2:11" ht="15.75">
      <c r="B5" s="283" t="s">
        <v>2</v>
      </c>
      <c r="C5" s="215" t="s">
        <v>3</v>
      </c>
      <c r="D5" s="216" t="s">
        <v>4</v>
      </c>
      <c r="E5" s="216" t="s">
        <v>5</v>
      </c>
      <c r="F5" s="216" t="s">
        <v>6</v>
      </c>
      <c r="G5" s="216" t="s">
        <v>7</v>
      </c>
      <c r="H5" s="216" t="s">
        <v>8</v>
      </c>
      <c r="I5" s="216" t="s">
        <v>9</v>
      </c>
      <c r="J5" s="216" t="s">
        <v>10</v>
      </c>
      <c r="K5" s="218" t="s">
        <v>11</v>
      </c>
    </row>
    <row r="6" spans="2:11">
      <c r="B6" s="103" t="s">
        <v>12</v>
      </c>
      <c r="C6" s="86" t="s">
        <v>13</v>
      </c>
      <c r="D6" t="s">
        <v>14</v>
      </c>
      <c r="E6" t="s">
        <v>15</v>
      </c>
      <c r="F6" t="s">
        <v>16</v>
      </c>
      <c r="G6" s="104">
        <v>66.8</v>
      </c>
      <c r="H6" t="s">
        <v>17</v>
      </c>
      <c r="I6" s="104">
        <f>G6*$D$44</f>
        <v>66.8</v>
      </c>
      <c r="J6" t="s">
        <v>18</v>
      </c>
      <c r="K6" s="105" t="s">
        <v>19</v>
      </c>
    </row>
    <row r="7" spans="2:11">
      <c r="B7" s="103" t="s">
        <v>12</v>
      </c>
      <c r="C7" s="86" t="s">
        <v>20</v>
      </c>
      <c r="D7" t="s">
        <v>21</v>
      </c>
      <c r="E7" t="s">
        <v>15</v>
      </c>
      <c r="F7" t="s">
        <v>22</v>
      </c>
      <c r="G7" s="104">
        <v>0.16300000000000001</v>
      </c>
      <c r="H7" t="s">
        <v>23</v>
      </c>
      <c r="I7" s="104">
        <f t="shared" ref="I7:I27" si="0">G7*$D$44</f>
        <v>0.16300000000000001</v>
      </c>
      <c r="J7" t="s">
        <v>24</v>
      </c>
      <c r="K7" s="105" t="s">
        <v>19</v>
      </c>
    </row>
    <row r="8" spans="2:11">
      <c r="B8" s="103" t="s">
        <v>12</v>
      </c>
      <c r="C8" s="86" t="s">
        <v>25</v>
      </c>
      <c r="D8" t="s">
        <v>26</v>
      </c>
      <c r="E8" t="s">
        <v>15</v>
      </c>
      <c r="F8" t="s">
        <v>16</v>
      </c>
      <c r="G8" s="104">
        <v>0.46</v>
      </c>
      <c r="H8" t="s">
        <v>27</v>
      </c>
      <c r="I8" s="104">
        <f t="shared" si="0"/>
        <v>0.46</v>
      </c>
      <c r="J8" t="s">
        <v>28</v>
      </c>
      <c r="K8" s="105" t="s">
        <v>19</v>
      </c>
    </row>
    <row r="9" spans="2:11">
      <c r="B9" s="103" t="s">
        <v>12</v>
      </c>
      <c r="C9" s="86" t="s">
        <v>29</v>
      </c>
      <c r="D9" t="s">
        <v>30</v>
      </c>
      <c r="E9" t="s">
        <v>15</v>
      </c>
      <c r="F9" t="s">
        <v>16</v>
      </c>
      <c r="G9" s="104">
        <v>0.223</v>
      </c>
      <c r="H9" t="s">
        <v>31</v>
      </c>
      <c r="I9" s="104">
        <f t="shared" si="0"/>
        <v>0.223</v>
      </c>
      <c r="J9" t="s">
        <v>32</v>
      </c>
      <c r="K9" s="105" t="s">
        <v>19</v>
      </c>
    </row>
    <row r="10" spans="2:11">
      <c r="B10" s="103" t="s">
        <v>12</v>
      </c>
      <c r="C10" s="86" t="s">
        <v>33</v>
      </c>
      <c r="D10" t="s">
        <v>34</v>
      </c>
      <c r="E10" t="s">
        <v>15</v>
      </c>
      <c r="F10" t="s">
        <v>16</v>
      </c>
      <c r="G10" s="104">
        <f>3 * 10^-4</f>
        <v>3.0000000000000003E-4</v>
      </c>
      <c r="H10" t="s">
        <v>35</v>
      </c>
      <c r="I10" s="104">
        <f t="shared" si="0"/>
        <v>3.0000000000000003E-4</v>
      </c>
      <c r="J10" t="s">
        <v>36</v>
      </c>
      <c r="K10" s="105" t="s">
        <v>19</v>
      </c>
    </row>
    <row r="11" spans="2:11">
      <c r="B11" s="103" t="s">
        <v>12</v>
      </c>
      <c r="C11" s="86" t="s">
        <v>37</v>
      </c>
      <c r="D11" t="s">
        <v>38</v>
      </c>
      <c r="E11" t="s">
        <v>15</v>
      </c>
      <c r="F11" t="s">
        <v>16</v>
      </c>
      <c r="G11" s="104">
        <v>4.82</v>
      </c>
      <c r="H11" t="s">
        <v>39</v>
      </c>
      <c r="I11" s="104">
        <f t="shared" si="0"/>
        <v>4.82</v>
      </c>
      <c r="J11" t="s">
        <v>40</v>
      </c>
      <c r="K11" s="105" t="s">
        <v>19</v>
      </c>
    </row>
    <row r="12" spans="2:11">
      <c r="B12" s="103" t="s">
        <v>12</v>
      </c>
      <c r="C12" s="86" t="s">
        <v>41</v>
      </c>
      <c r="D12" t="s">
        <v>34</v>
      </c>
      <c r="E12" t="s">
        <v>15</v>
      </c>
      <c r="F12" t="s">
        <v>16</v>
      </c>
      <c r="G12" s="104">
        <v>4.1700000000000001E-2</v>
      </c>
      <c r="H12" t="s">
        <v>35</v>
      </c>
      <c r="I12" s="104">
        <f t="shared" si="0"/>
        <v>4.1700000000000001E-2</v>
      </c>
      <c r="J12" t="s">
        <v>36</v>
      </c>
      <c r="K12" s="105" t="s">
        <v>19</v>
      </c>
    </row>
    <row r="13" spans="2:11">
      <c r="B13" s="103" t="s">
        <v>12</v>
      </c>
      <c r="C13" s="86" t="s">
        <v>42</v>
      </c>
      <c r="D13" t="s">
        <v>43</v>
      </c>
      <c r="E13" t="s">
        <v>15</v>
      </c>
      <c r="F13" t="s">
        <v>44</v>
      </c>
      <c r="G13" s="104">
        <v>209</v>
      </c>
      <c r="H13" t="s">
        <v>45</v>
      </c>
      <c r="I13" s="104">
        <f t="shared" si="0"/>
        <v>209</v>
      </c>
      <c r="J13" t="s">
        <v>46</v>
      </c>
      <c r="K13" s="105" t="s">
        <v>19</v>
      </c>
    </row>
    <row r="14" spans="2:11">
      <c r="B14" s="103" t="s">
        <v>12</v>
      </c>
      <c r="C14" s="86" t="s">
        <v>47</v>
      </c>
      <c r="D14" t="s">
        <v>34</v>
      </c>
      <c r="E14" t="s">
        <v>15</v>
      </c>
      <c r="F14" t="s">
        <v>16</v>
      </c>
      <c r="G14" s="104">
        <f>1.9 * 10^-3</f>
        <v>1.9E-3</v>
      </c>
      <c r="H14" t="s">
        <v>35</v>
      </c>
      <c r="I14" s="104">
        <f t="shared" si="0"/>
        <v>1.9E-3</v>
      </c>
      <c r="J14" t="s">
        <v>36</v>
      </c>
      <c r="K14" s="105" t="s">
        <v>19</v>
      </c>
    </row>
    <row r="15" spans="2:11">
      <c r="B15" s="103" t="s">
        <v>12</v>
      </c>
      <c r="C15" s="86" t="s">
        <v>48</v>
      </c>
      <c r="D15" t="s">
        <v>49</v>
      </c>
      <c r="E15" t="s">
        <v>15</v>
      </c>
      <c r="F15" t="s">
        <v>44</v>
      </c>
      <c r="G15" s="104">
        <v>14.5</v>
      </c>
      <c r="H15" t="s">
        <v>50</v>
      </c>
      <c r="I15" s="104">
        <f t="shared" si="0"/>
        <v>14.5</v>
      </c>
      <c r="J15" t="s">
        <v>51</v>
      </c>
      <c r="K15" s="105" t="s">
        <v>19</v>
      </c>
    </row>
    <row r="16" spans="2:11">
      <c r="B16" s="106" t="s">
        <v>52</v>
      </c>
      <c r="C16" s="86" t="s">
        <v>53</v>
      </c>
      <c r="D16" t="s">
        <v>54</v>
      </c>
      <c r="E16" t="s">
        <v>55</v>
      </c>
      <c r="F16" t="s">
        <v>16</v>
      </c>
      <c r="G16" s="104">
        <v>1.0900000000000001</v>
      </c>
      <c r="H16" t="s">
        <v>56</v>
      </c>
      <c r="I16" s="104">
        <f t="shared" si="0"/>
        <v>1.0900000000000001</v>
      </c>
      <c r="J16" t="s">
        <v>57</v>
      </c>
      <c r="K16" s="105" t="s">
        <v>19</v>
      </c>
    </row>
    <row r="17" spans="2:11">
      <c r="B17" s="106" t="s">
        <v>52</v>
      </c>
      <c r="C17" s="86" t="s">
        <v>58</v>
      </c>
      <c r="D17" t="s">
        <v>54</v>
      </c>
      <c r="E17" t="s">
        <v>55</v>
      </c>
      <c r="F17" t="s">
        <v>16</v>
      </c>
      <c r="G17" s="104">
        <v>1.59</v>
      </c>
      <c r="H17" t="s">
        <v>56</v>
      </c>
      <c r="I17" s="104">
        <f t="shared" si="0"/>
        <v>1.59</v>
      </c>
      <c r="J17" t="s">
        <v>57</v>
      </c>
      <c r="K17" s="105" t="s">
        <v>19</v>
      </c>
    </row>
    <row r="18" spans="2:11">
      <c r="B18" s="106" t="s">
        <v>52</v>
      </c>
      <c r="C18" s="86" t="s">
        <v>59</v>
      </c>
      <c r="D18" t="s">
        <v>60</v>
      </c>
      <c r="E18" t="s">
        <v>55</v>
      </c>
      <c r="F18" t="s">
        <v>61</v>
      </c>
      <c r="G18" s="104">
        <v>9910</v>
      </c>
      <c r="H18" t="s">
        <v>62</v>
      </c>
      <c r="I18" s="104">
        <f t="shared" si="0"/>
        <v>9910</v>
      </c>
      <c r="J18" t="s">
        <v>63</v>
      </c>
      <c r="K18" s="105" t="s">
        <v>19</v>
      </c>
    </row>
    <row r="19" spans="2:11">
      <c r="B19" s="106" t="s">
        <v>52</v>
      </c>
      <c r="C19" s="86" t="s">
        <v>64</v>
      </c>
      <c r="D19" t="s">
        <v>60</v>
      </c>
      <c r="E19" t="s">
        <v>55</v>
      </c>
      <c r="F19" t="s">
        <v>61</v>
      </c>
      <c r="G19" s="104">
        <v>2380</v>
      </c>
      <c r="H19" t="s">
        <v>62</v>
      </c>
      <c r="I19" s="104">
        <f t="shared" si="0"/>
        <v>2380</v>
      </c>
      <c r="J19" t="s">
        <v>63</v>
      </c>
      <c r="K19" s="105" t="s">
        <v>19</v>
      </c>
    </row>
    <row r="20" spans="2:11">
      <c r="B20" s="106" t="s">
        <v>52</v>
      </c>
      <c r="C20" s="86" t="s">
        <v>65</v>
      </c>
      <c r="D20" t="s">
        <v>60</v>
      </c>
      <c r="E20" t="s">
        <v>55</v>
      </c>
      <c r="F20" t="s">
        <v>61</v>
      </c>
      <c r="G20" s="104">
        <v>25100</v>
      </c>
      <c r="H20" t="s">
        <v>62</v>
      </c>
      <c r="I20" s="104">
        <f t="shared" si="0"/>
        <v>25100</v>
      </c>
      <c r="J20" t="s">
        <v>63</v>
      </c>
      <c r="K20" s="105" t="s">
        <v>19</v>
      </c>
    </row>
    <row r="21" spans="2:11">
      <c r="B21" s="106" t="s">
        <v>52</v>
      </c>
      <c r="C21" s="86" t="s">
        <v>66</v>
      </c>
      <c r="D21" t="s">
        <v>60</v>
      </c>
      <c r="E21" t="s">
        <v>55</v>
      </c>
      <c r="F21" t="s">
        <v>67</v>
      </c>
      <c r="G21" s="104">
        <v>2340</v>
      </c>
      <c r="H21" t="s">
        <v>68</v>
      </c>
      <c r="I21" s="104">
        <f t="shared" si="0"/>
        <v>2340</v>
      </c>
      <c r="J21" t="s">
        <v>69</v>
      </c>
      <c r="K21" s="105" t="s">
        <v>19</v>
      </c>
    </row>
    <row r="22" spans="2:11">
      <c r="B22" s="106" t="s">
        <v>52</v>
      </c>
      <c r="C22" s="86" t="s">
        <v>70</v>
      </c>
      <c r="D22" t="s">
        <v>54</v>
      </c>
      <c r="E22" t="s">
        <v>55</v>
      </c>
      <c r="F22" t="s">
        <v>16</v>
      </c>
      <c r="G22" s="104">
        <v>1.0900000000000001</v>
      </c>
      <c r="H22" t="s">
        <v>56</v>
      </c>
      <c r="I22" s="104">
        <f t="shared" si="0"/>
        <v>1.0900000000000001</v>
      </c>
      <c r="J22" t="s">
        <v>57</v>
      </c>
      <c r="K22" s="105" t="s">
        <v>19</v>
      </c>
    </row>
    <row r="23" spans="2:11">
      <c r="B23" s="106" t="s">
        <v>52</v>
      </c>
      <c r="C23" s="86" t="s">
        <v>71</v>
      </c>
      <c r="D23" t="s">
        <v>60</v>
      </c>
      <c r="E23" t="s">
        <v>55</v>
      </c>
      <c r="F23" t="s">
        <v>67</v>
      </c>
      <c r="G23" s="104">
        <v>1760</v>
      </c>
      <c r="H23" t="s">
        <v>68</v>
      </c>
      <c r="I23" s="104">
        <f t="shared" si="0"/>
        <v>1760</v>
      </c>
      <c r="J23" t="s">
        <v>69</v>
      </c>
      <c r="K23" s="105" t="s">
        <v>19</v>
      </c>
    </row>
    <row r="24" spans="2:11">
      <c r="B24" s="106" t="s">
        <v>52</v>
      </c>
      <c r="C24" s="86" t="s">
        <v>72</v>
      </c>
      <c r="D24" t="s">
        <v>73</v>
      </c>
      <c r="E24" t="s">
        <v>55</v>
      </c>
      <c r="F24" t="s">
        <v>16</v>
      </c>
      <c r="G24" s="104">
        <v>3710</v>
      </c>
      <c r="H24" t="s">
        <v>74</v>
      </c>
      <c r="I24" s="104">
        <f t="shared" si="0"/>
        <v>3710</v>
      </c>
      <c r="J24" t="s">
        <v>75</v>
      </c>
      <c r="K24" s="105" t="s">
        <v>19</v>
      </c>
    </row>
    <row r="25" spans="2:11">
      <c r="B25" s="106" t="s">
        <v>52</v>
      </c>
      <c r="C25" s="86" t="s">
        <v>76</v>
      </c>
      <c r="D25" t="s">
        <v>73</v>
      </c>
      <c r="E25" t="s">
        <v>55</v>
      </c>
      <c r="F25" t="s">
        <v>16</v>
      </c>
      <c r="G25" s="104">
        <v>3840</v>
      </c>
      <c r="H25" t="s">
        <v>74</v>
      </c>
      <c r="I25" s="104">
        <f t="shared" si="0"/>
        <v>3840</v>
      </c>
      <c r="J25" t="s">
        <v>75</v>
      </c>
      <c r="K25" s="105" t="s">
        <v>19</v>
      </c>
    </row>
    <row r="26" spans="2:11">
      <c r="B26" s="106" t="s">
        <v>52</v>
      </c>
      <c r="C26" s="86" t="s">
        <v>77</v>
      </c>
      <c r="D26" t="s">
        <v>73</v>
      </c>
      <c r="E26" t="s">
        <v>55</v>
      </c>
      <c r="F26" t="s">
        <v>16</v>
      </c>
      <c r="G26" s="104">
        <v>3150000</v>
      </c>
      <c r="H26" t="s">
        <v>74</v>
      </c>
      <c r="I26" s="104">
        <f t="shared" si="0"/>
        <v>3150000</v>
      </c>
      <c r="J26" t="s">
        <v>75</v>
      </c>
      <c r="K26" s="105" t="s">
        <v>19</v>
      </c>
    </row>
    <row r="27" spans="2:11">
      <c r="B27" s="107" t="s">
        <v>78</v>
      </c>
      <c r="C27" s="86" t="s">
        <v>79</v>
      </c>
      <c r="D27" t="s">
        <v>80</v>
      </c>
      <c r="E27" t="s">
        <v>81</v>
      </c>
      <c r="F27" t="s">
        <v>22</v>
      </c>
      <c r="G27" s="104">
        <v>80000</v>
      </c>
      <c r="H27" t="s">
        <v>82</v>
      </c>
      <c r="I27" s="104">
        <f t="shared" si="0"/>
        <v>80000</v>
      </c>
      <c r="J27" t="s">
        <v>83</v>
      </c>
      <c r="K27" s="105" t="s">
        <v>84</v>
      </c>
    </row>
    <row r="28" spans="2:11">
      <c r="B28" s="108" t="s">
        <v>85</v>
      </c>
      <c r="C28" s="87" t="s">
        <v>86</v>
      </c>
      <c r="D28" s="81" t="s">
        <v>87</v>
      </c>
      <c r="E28" s="81" t="s">
        <v>88</v>
      </c>
      <c r="F28" s="81" t="s">
        <v>88</v>
      </c>
      <c r="G28" s="109">
        <v>100000</v>
      </c>
      <c r="H28" s="81" t="s">
        <v>89</v>
      </c>
      <c r="I28" s="109">
        <v>100000</v>
      </c>
      <c r="J28" s="81" t="s">
        <v>89</v>
      </c>
      <c r="K28" s="110" t="s">
        <v>90</v>
      </c>
    </row>
    <row r="29" spans="2:11">
      <c r="B29" t="s">
        <v>91</v>
      </c>
    </row>
    <row r="30" spans="2:11" ht="15.75">
      <c r="B30" s="4" t="s">
        <v>92</v>
      </c>
    </row>
    <row r="31" spans="2:11" ht="15.75">
      <c r="B31" s="3" t="s">
        <v>93</v>
      </c>
    </row>
    <row r="32" spans="2:11" ht="15.75">
      <c r="B32" t="s">
        <v>94</v>
      </c>
    </row>
    <row r="33" spans="2:11" ht="15.75">
      <c r="B33" s="3" t="s">
        <v>95</v>
      </c>
    </row>
    <row r="34" spans="2:11" ht="15.75">
      <c r="B34" t="s">
        <v>96</v>
      </c>
    </row>
    <row r="35" spans="2:11" ht="15.75">
      <c r="B35" s="3" t="s">
        <v>97</v>
      </c>
    </row>
    <row r="36" spans="2:11" ht="15.75">
      <c r="B36" t="s">
        <v>98</v>
      </c>
    </row>
    <row r="37" spans="2:11" ht="15.75"/>
    <row r="38" spans="2:11" ht="15.75"/>
    <row r="40" spans="2:11" ht="21.95">
      <c r="B40" s="293" t="s">
        <v>99</v>
      </c>
      <c r="C40" s="294"/>
      <c r="D40" s="294"/>
      <c r="E40" s="294"/>
      <c r="F40" s="294"/>
      <c r="G40" s="294"/>
      <c r="H40" s="294"/>
      <c r="I40" s="294"/>
      <c r="J40" s="294"/>
      <c r="K40" s="295"/>
    </row>
    <row r="41" spans="2:11" ht="21">
      <c r="B41" s="207"/>
      <c r="C41" s="207"/>
      <c r="D41" s="207"/>
      <c r="E41" s="207"/>
      <c r="F41" s="207"/>
      <c r="G41" s="207"/>
      <c r="H41" s="207"/>
      <c r="I41" s="207"/>
      <c r="J41" s="207"/>
      <c r="K41" s="207"/>
    </row>
    <row r="42" spans="2:11" ht="15.75">
      <c r="B42" s="155" t="s">
        <v>100</v>
      </c>
    </row>
    <row r="43" spans="2:11">
      <c r="B43" s="279"/>
      <c r="C43" s="280" t="s">
        <v>101</v>
      </c>
      <c r="D43" s="280" t="s">
        <v>102</v>
      </c>
      <c r="E43" s="281" t="s">
        <v>103</v>
      </c>
    </row>
    <row r="44" spans="2:11" ht="46.5">
      <c r="B44" s="121" t="s">
        <v>104</v>
      </c>
      <c r="C44">
        <v>2022</v>
      </c>
      <c r="D44">
        <v>1</v>
      </c>
      <c r="E44" s="282" t="s">
        <v>105</v>
      </c>
    </row>
    <row r="45" spans="2:11" ht="46.5">
      <c r="B45" s="121" t="s">
        <v>106</v>
      </c>
      <c r="C45">
        <v>2022</v>
      </c>
      <c r="D45">
        <v>0.95</v>
      </c>
      <c r="E45" s="282" t="s">
        <v>105</v>
      </c>
    </row>
    <row r="46" spans="2:11">
      <c r="B46" s="116"/>
      <c r="C46" s="81"/>
      <c r="D46" s="81"/>
      <c r="E46" s="82"/>
    </row>
    <row r="47" spans="2:11">
      <c r="B47" s="4" t="s">
        <v>92</v>
      </c>
    </row>
    <row r="48" spans="2:11">
      <c r="B48" s="3" t="s">
        <v>107</v>
      </c>
    </row>
    <row r="49" spans="2:2">
      <c r="B49" t="s">
        <v>108</v>
      </c>
    </row>
  </sheetData>
  <mergeCells count="2">
    <mergeCell ref="B2:K2"/>
    <mergeCell ref="B40:K40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80A0-D2B8-4EA4-AD3F-297F08AB8E13}">
  <sheetPr>
    <tabColor theme="2" tint="-9.9978637043366805E-2"/>
  </sheetPr>
  <dimension ref="B2:F26"/>
  <sheetViews>
    <sheetView workbookViewId="0">
      <selection activeCell="C21" sqref="C21"/>
    </sheetView>
  </sheetViews>
  <sheetFormatPr defaultRowHeight="15.75"/>
  <cols>
    <col min="2" max="2" width="29.25" customWidth="1"/>
    <col min="3" max="3" width="19.375" customWidth="1"/>
    <col min="4" max="4" width="18.625" customWidth="1"/>
    <col min="5" max="5" width="19.375" customWidth="1"/>
    <col min="6" max="6" width="20.875" customWidth="1"/>
  </cols>
  <sheetData>
    <row r="2" spans="2:6" ht="18.75">
      <c r="B2" s="296" t="s">
        <v>109</v>
      </c>
      <c r="C2" s="297"/>
      <c r="D2" s="297"/>
      <c r="E2" s="297"/>
      <c r="F2" s="298"/>
    </row>
    <row r="4" spans="2:6">
      <c r="B4" s="2" t="s">
        <v>110</v>
      </c>
    </row>
    <row r="5" spans="2:6">
      <c r="B5" s="10" t="s">
        <v>111</v>
      </c>
      <c r="C5" s="11" t="s">
        <v>112</v>
      </c>
      <c r="D5" s="11" t="s">
        <v>113</v>
      </c>
      <c r="E5" s="11" t="s">
        <v>114</v>
      </c>
      <c r="F5" s="12" t="s">
        <v>115</v>
      </c>
    </row>
    <row r="6" spans="2:6">
      <c r="B6" s="28" t="s">
        <v>116</v>
      </c>
      <c r="C6" s="29">
        <v>520</v>
      </c>
      <c r="D6" s="29">
        <v>0</v>
      </c>
      <c r="E6" s="29">
        <v>16</v>
      </c>
      <c r="F6" s="31" t="s">
        <v>117</v>
      </c>
    </row>
    <row r="7" spans="2:6">
      <c r="B7" s="28" t="s">
        <v>118</v>
      </c>
      <c r="C7" s="29">
        <v>520</v>
      </c>
      <c r="D7" s="29">
        <v>13</v>
      </c>
      <c r="E7" s="29">
        <v>5</v>
      </c>
      <c r="F7" s="31" t="s">
        <v>117</v>
      </c>
    </row>
    <row r="8" spans="2:6">
      <c r="B8" s="28" t="s">
        <v>119</v>
      </c>
      <c r="C8" s="29">
        <v>550</v>
      </c>
      <c r="D8" s="29">
        <v>23</v>
      </c>
      <c r="E8" s="29">
        <v>0</v>
      </c>
      <c r="F8" s="31" t="s">
        <v>117</v>
      </c>
    </row>
    <row r="9" spans="2:6">
      <c r="B9" s="28" t="s">
        <v>120</v>
      </c>
      <c r="C9" s="29">
        <v>505</v>
      </c>
      <c r="D9" s="29">
        <v>19.5</v>
      </c>
      <c r="E9" s="29">
        <v>3.5</v>
      </c>
      <c r="F9" s="31" t="s">
        <v>121</v>
      </c>
    </row>
    <row r="10" spans="2:6">
      <c r="B10" s="20" t="s">
        <v>122</v>
      </c>
      <c r="C10" s="8">
        <v>505</v>
      </c>
      <c r="D10" s="8">
        <v>30.5</v>
      </c>
      <c r="E10" s="8">
        <v>0</v>
      </c>
      <c r="F10" s="31" t="s">
        <v>121</v>
      </c>
    </row>
    <row r="11" spans="2:6">
      <c r="B11" s="4" t="s">
        <v>92</v>
      </c>
    </row>
    <row r="12" spans="2:6">
      <c r="B12" s="3" t="s">
        <v>123</v>
      </c>
    </row>
    <row r="13" spans="2:6">
      <c r="B13" s="3" t="s">
        <v>124</v>
      </c>
    </row>
    <row r="14" spans="2:6">
      <c r="B14" s="165" t="s">
        <v>125</v>
      </c>
    </row>
    <row r="15" spans="2:6">
      <c r="B15" s="3" t="s">
        <v>126</v>
      </c>
    </row>
    <row r="16" spans="2:6">
      <c r="B16" s="165" t="s">
        <v>127</v>
      </c>
    </row>
    <row r="21" spans="2:4">
      <c r="B21" s="10" t="s">
        <v>128</v>
      </c>
      <c r="C21" s="29">
        <f>41</f>
        <v>41</v>
      </c>
      <c r="D21" s="30" t="s">
        <v>129</v>
      </c>
    </row>
    <row r="22" spans="2:4">
      <c r="B22" s="4" t="s">
        <v>130</v>
      </c>
    </row>
    <row r="23" spans="2:4">
      <c r="B23" s="3" t="s">
        <v>131</v>
      </c>
    </row>
    <row r="24" spans="2:4">
      <c r="B24" s="3" t="s">
        <v>132</v>
      </c>
    </row>
    <row r="25" spans="2:4">
      <c r="B25" s="3" t="s">
        <v>133</v>
      </c>
    </row>
    <row r="26" spans="2:4">
      <c r="B26" s="165" t="s">
        <v>134</v>
      </c>
    </row>
  </sheetData>
  <mergeCells count="1">
    <mergeCell ref="B2:F2"/>
  </mergeCells>
  <hyperlinks>
    <hyperlink ref="B16" r:id="rId1" xr:uid="{1FBD5FF8-85EE-4121-82F9-6AFD95C297DD}"/>
    <hyperlink ref="B14" r:id="rId2" xr:uid="{B9C2E2C6-B940-4578-8506-02DCE4AF076B}"/>
    <hyperlink ref="B26" r:id="rId3" xr:uid="{C52D6C35-947D-4E21-B7CE-4A17AC543AA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D7AF-7416-404E-8C12-0885F188CFEC}">
  <dimension ref="B2:K63"/>
  <sheetViews>
    <sheetView topLeftCell="A19" workbookViewId="0">
      <selection activeCell="B41" sqref="B41"/>
    </sheetView>
  </sheetViews>
  <sheetFormatPr defaultRowHeight="15.75"/>
  <cols>
    <col min="2" max="2" width="27.875" customWidth="1"/>
    <col min="3" max="3" width="32.75" customWidth="1"/>
    <col min="4" max="4" width="21.375" customWidth="1"/>
    <col min="5" max="5" width="22.625" customWidth="1"/>
    <col min="6" max="8" width="21.375" customWidth="1"/>
  </cols>
  <sheetData>
    <row r="2" spans="2:11" ht="26.25">
      <c r="B2" s="307" t="s">
        <v>135</v>
      </c>
      <c r="C2" s="307"/>
      <c r="D2" s="307"/>
      <c r="E2" s="307"/>
      <c r="F2" s="307"/>
      <c r="G2" s="307"/>
      <c r="H2" s="307"/>
      <c r="I2" s="307"/>
      <c r="J2" s="307"/>
      <c r="K2" s="307"/>
    </row>
    <row r="3" spans="2:11" ht="26.25">
      <c r="B3" s="219"/>
      <c r="C3" s="219"/>
      <c r="D3" s="219"/>
      <c r="E3" s="219"/>
      <c r="F3" s="219"/>
      <c r="G3" s="219"/>
      <c r="H3" s="219"/>
      <c r="I3" s="219"/>
      <c r="J3" s="219"/>
      <c r="K3" s="219"/>
    </row>
    <row r="4" spans="2:11">
      <c r="B4" s="91" t="s">
        <v>136</v>
      </c>
    </row>
    <row r="5" spans="2:11">
      <c r="D5" s="299" t="s">
        <v>137</v>
      </c>
      <c r="E5" s="303"/>
      <c r="F5" s="303"/>
      <c r="G5" s="303"/>
      <c r="H5" s="304"/>
    </row>
    <row r="6" spans="2:11">
      <c r="B6" s="215" t="s">
        <v>2</v>
      </c>
      <c r="C6" s="216" t="s">
        <v>3</v>
      </c>
      <c r="D6" s="211" t="s">
        <v>138</v>
      </c>
      <c r="E6" s="179" t="s">
        <v>139</v>
      </c>
      <c r="F6" s="179" t="s">
        <v>140</v>
      </c>
      <c r="G6" s="179" t="s">
        <v>141</v>
      </c>
      <c r="H6" s="264" t="s">
        <v>142</v>
      </c>
    </row>
    <row r="7" spans="2:11">
      <c r="B7" s="103" t="s">
        <v>12</v>
      </c>
      <c r="C7" s="86" t="s">
        <v>13</v>
      </c>
      <c r="D7" s="121">
        <f>Environment!L8</f>
        <v>1.3509986178657576</v>
      </c>
      <c r="E7">
        <f>Environment!M8</f>
        <v>2.0715354243159219</v>
      </c>
      <c r="F7">
        <f>Environment!N8</f>
        <v>3.0981901400005172</v>
      </c>
      <c r="G7">
        <f>Environment!O8</f>
        <v>4.0480116707954368</v>
      </c>
      <c r="H7" s="80">
        <f>Environment!P8</f>
        <v>5.089394583268894</v>
      </c>
    </row>
    <row r="8" spans="2:11">
      <c r="B8" s="103" t="s">
        <v>12</v>
      </c>
      <c r="C8" s="86" t="s">
        <v>25</v>
      </c>
      <c r="D8" s="121">
        <f>Environment!L9</f>
        <v>0.29514278506198521</v>
      </c>
      <c r="E8">
        <f>Environment!M9</f>
        <v>0.29873349402043076</v>
      </c>
      <c r="F8">
        <f>Environment!N9</f>
        <v>0.41622055879935643</v>
      </c>
      <c r="G8">
        <f>Environment!O9</f>
        <v>0.55069935121416458</v>
      </c>
      <c r="H8" s="80">
        <f>Environment!P9</f>
        <v>0.65209133823318244</v>
      </c>
    </row>
    <row r="9" spans="2:11">
      <c r="B9" s="103" t="s">
        <v>12</v>
      </c>
      <c r="C9" s="86" t="s">
        <v>41</v>
      </c>
      <c r="D9" s="121">
        <f>Environment!L10</f>
        <v>6.4735027414451153E-3</v>
      </c>
      <c r="E9">
        <f>Environment!M10</f>
        <v>4.6307289316237761E-3</v>
      </c>
      <c r="F9">
        <f>Environment!N10</f>
        <v>5.1564892418903821E-3</v>
      </c>
      <c r="G9">
        <f>Environment!O10</f>
        <v>9.8960711996102495E-3</v>
      </c>
      <c r="H9" s="80">
        <f>Environment!P10</f>
        <v>1.068173984752907E-2</v>
      </c>
    </row>
    <row r="10" spans="2:11">
      <c r="B10" s="103" t="s">
        <v>12</v>
      </c>
      <c r="C10" s="86" t="s">
        <v>42</v>
      </c>
      <c r="D10" s="121">
        <f>Environment!L11</f>
        <v>0.38406011712242871</v>
      </c>
      <c r="E10">
        <f>Environment!M11</f>
        <v>0.30386946730806996</v>
      </c>
      <c r="F10">
        <f>Environment!N11</f>
        <v>0.32032666453707165</v>
      </c>
      <c r="G10">
        <f>Environment!O11</f>
        <v>0.74680212617132602</v>
      </c>
      <c r="H10" s="80">
        <f>Environment!P11</f>
        <v>0.75152395822026519</v>
      </c>
    </row>
    <row r="11" spans="2:11">
      <c r="B11" s="103" t="s">
        <v>12</v>
      </c>
      <c r="C11" s="86" t="s">
        <v>20</v>
      </c>
      <c r="D11" s="121">
        <f>Environment!L12</f>
        <v>2.4856121905887649</v>
      </c>
      <c r="E11">
        <f>Environment!M12</f>
        <v>5.3703111112614597</v>
      </c>
      <c r="F11">
        <f>Environment!N12</f>
        <v>7.4657597527359485</v>
      </c>
      <c r="G11">
        <f>Environment!O12</f>
        <v>10.319609948852046</v>
      </c>
      <c r="H11" s="80">
        <f>Environment!P12</f>
        <v>11.815481050037144</v>
      </c>
    </row>
    <row r="12" spans="2:11">
      <c r="B12" s="103" t="s">
        <v>12</v>
      </c>
      <c r="C12" s="86" t="s">
        <v>47</v>
      </c>
      <c r="D12" s="121">
        <f>Environment!L13</f>
        <v>2.8251463883423712E-4</v>
      </c>
      <c r="E12">
        <f>Environment!M13</f>
        <v>2.7407686083273815E-4</v>
      </c>
      <c r="F12">
        <f>Environment!N13</f>
        <v>3.2617324763244186E-4</v>
      </c>
      <c r="G12">
        <f>Environment!O13</f>
        <v>6.1202632455866618E-4</v>
      </c>
      <c r="H12" s="80">
        <f>Environment!P13</f>
        <v>6.6718036129508615E-4</v>
      </c>
    </row>
    <row r="13" spans="2:11">
      <c r="B13" s="103" t="s">
        <v>12</v>
      </c>
      <c r="C13" s="86" t="s">
        <v>48</v>
      </c>
      <c r="D13" s="121">
        <f>Environment!L14</f>
        <v>0.19899726444563282</v>
      </c>
      <c r="E13">
        <f>Environment!M14</f>
        <v>0.16871170036962191</v>
      </c>
      <c r="F13">
        <f>Environment!N14</f>
        <v>0.17517823678220709</v>
      </c>
      <c r="G13">
        <f>Environment!O14</f>
        <v>0.42925536612827087</v>
      </c>
      <c r="H13" s="80">
        <f>Environment!P14</f>
        <v>0.41501430446929333</v>
      </c>
    </row>
    <row r="14" spans="2:11">
      <c r="B14" s="103" t="s">
        <v>12</v>
      </c>
      <c r="C14" s="86" t="s">
        <v>29</v>
      </c>
      <c r="D14" s="121">
        <f>Environment!L15</f>
        <v>1.4158092846628305E-2</v>
      </c>
      <c r="E14">
        <f>Environment!M15</f>
        <v>2.3382445506526937E-2</v>
      </c>
      <c r="F14">
        <f>Environment!N15</f>
        <v>2.166762702272524E-2</v>
      </c>
      <c r="G14">
        <f>Environment!O15</f>
        <v>3.2055483309884385E-2</v>
      </c>
      <c r="H14" s="80">
        <f>Environment!P15</f>
        <v>3.0392257495101389E-2</v>
      </c>
    </row>
    <row r="15" spans="2:11">
      <c r="B15" s="103" t="s">
        <v>12</v>
      </c>
      <c r="C15" s="86" t="s">
        <v>37</v>
      </c>
      <c r="D15" s="121">
        <f>Environment!L16</f>
        <v>0.62629698161084391</v>
      </c>
      <c r="E15">
        <f>Environment!M16</f>
        <v>1.063240696428889</v>
      </c>
      <c r="F15">
        <f>Environment!N16</f>
        <v>1.6104388978789945</v>
      </c>
      <c r="G15">
        <f>Environment!O16</f>
        <v>2.0231847975192458</v>
      </c>
      <c r="H15" s="80">
        <f>Environment!P16</f>
        <v>2.6021082518505132</v>
      </c>
    </row>
    <row r="16" spans="2:11">
      <c r="B16" s="103" t="s">
        <v>12</v>
      </c>
      <c r="C16" s="86" t="s">
        <v>33</v>
      </c>
      <c r="D16" s="121">
        <f>Environment!L17</f>
        <v>3.1865633245158819E-3</v>
      </c>
      <c r="E16">
        <f>Environment!M17</f>
        <v>2.3137447747482421E-3</v>
      </c>
      <c r="F16">
        <f>Environment!N17</f>
        <v>2.7477039076292771E-3</v>
      </c>
      <c r="G16">
        <f>Environment!O17</f>
        <v>4.7874228916408405E-3</v>
      </c>
      <c r="H16" s="80">
        <f>Environment!P17</f>
        <v>5.1944090144875003E-3</v>
      </c>
    </row>
    <row r="17" spans="2:8">
      <c r="B17" s="106" t="s">
        <v>52</v>
      </c>
      <c r="C17" s="121" t="s">
        <v>53</v>
      </c>
      <c r="D17" s="121">
        <f>Livelihoods!AF8</f>
        <v>0.59933486315605511</v>
      </c>
      <c r="E17">
        <f>Livelihoods!AG8</f>
        <v>0.55040956820454034</v>
      </c>
      <c r="F17">
        <f>Livelihoods!AH8</f>
        <v>0.60809765608615396</v>
      </c>
      <c r="G17">
        <f>Livelihoods!AI8</f>
        <v>3.7516586071594513E-2</v>
      </c>
      <c r="H17" s="80">
        <f>Livelihoods!AJ8</f>
        <v>6.0929663921617618E-2</v>
      </c>
    </row>
    <row r="18" spans="2:8">
      <c r="B18" s="106" t="s">
        <v>52</v>
      </c>
      <c r="C18" s="121" t="s">
        <v>58</v>
      </c>
      <c r="D18" s="121">
        <f>Livelihoods!AF9</f>
        <v>0.10541531326399861</v>
      </c>
      <c r="E18">
        <f>Livelihoods!AG9</f>
        <v>9.680998156897834E-2</v>
      </c>
      <c r="F18">
        <f>Livelihoods!AH9</f>
        <v>0.10695657611817269</v>
      </c>
      <c r="G18">
        <f>Livelihoods!AI9</f>
        <v>0</v>
      </c>
      <c r="H18" s="80">
        <f>Livelihoods!AJ9</f>
        <v>0</v>
      </c>
    </row>
    <row r="19" spans="2:8">
      <c r="B19" s="106" t="s">
        <v>52</v>
      </c>
      <c r="C19" s="121" t="s">
        <v>59</v>
      </c>
      <c r="D19" s="121">
        <f>Livelihoods!AF10</f>
        <v>0</v>
      </c>
      <c r="E19">
        <f>Livelihoods!AG10</f>
        <v>0</v>
      </c>
      <c r="F19">
        <f>Livelihoods!AH10</f>
        <v>0</v>
      </c>
      <c r="G19">
        <f>Livelihoods!AI10</f>
        <v>2.8116039357234147E-3</v>
      </c>
      <c r="H19" s="80">
        <f>Livelihoods!AJ10</f>
        <v>4.5662492465974019E-3</v>
      </c>
    </row>
    <row r="20" spans="2:8">
      <c r="B20" s="106" t="s">
        <v>52</v>
      </c>
      <c r="C20" s="121" t="s">
        <v>64</v>
      </c>
      <c r="D20" s="121">
        <f>Livelihoods!AF11</f>
        <v>0</v>
      </c>
      <c r="E20">
        <f>Livelihoods!AG11</f>
        <v>0</v>
      </c>
      <c r="F20">
        <f>Livelihoods!AH11</f>
        <v>0</v>
      </c>
      <c r="G20">
        <f>Livelihoods!AI11</f>
        <v>2.337277441862959E-3</v>
      </c>
      <c r="H20" s="80">
        <f>Livelihoods!AJ11</f>
        <v>3.7959085283645485E-3</v>
      </c>
    </row>
    <row r="21" spans="2:8">
      <c r="B21" s="106" t="s">
        <v>52</v>
      </c>
      <c r="C21" s="121" t="s">
        <v>65</v>
      </c>
      <c r="D21" s="121">
        <f>Livelihoods!AF12</f>
        <v>0</v>
      </c>
      <c r="E21">
        <f>Livelihoods!AG12</f>
        <v>0</v>
      </c>
      <c r="F21">
        <f>Livelihoods!AH12</f>
        <v>0</v>
      </c>
      <c r="G21">
        <f>Livelihoods!AI12</f>
        <v>1.6651192232879906E-3</v>
      </c>
      <c r="H21" s="80">
        <f>Livelihoods!AJ12</f>
        <v>2.7042747032139597E-3</v>
      </c>
    </row>
    <row r="22" spans="2:8">
      <c r="B22" s="106" t="s">
        <v>52</v>
      </c>
      <c r="C22" s="121" t="s">
        <v>66</v>
      </c>
      <c r="D22" s="121">
        <f>Livelihoods!AF13</f>
        <v>6.5359994861270585E-3</v>
      </c>
      <c r="E22">
        <f>Livelihoods!AG13</f>
        <v>6.0024485076677079E-3</v>
      </c>
      <c r="F22">
        <f>Livelihoods!AH13</f>
        <v>6.6315614392338171E-3</v>
      </c>
      <c r="G22">
        <f>Livelihoods!AI13</f>
        <v>1.3780746347249241E-2</v>
      </c>
      <c r="H22" s="80">
        <f>Livelihoods!AJ13</f>
        <v>2.2380934180007844E-2</v>
      </c>
    </row>
    <row r="23" spans="2:8">
      <c r="B23" s="106" t="s">
        <v>52</v>
      </c>
      <c r="C23" s="121" t="s">
        <v>70</v>
      </c>
      <c r="D23" s="121">
        <f>Livelihoods!AF14</f>
        <v>1.3647527521213587E-5</v>
      </c>
      <c r="E23">
        <f>Livelihoods!AG14</f>
        <v>1.2533443641930846E-5</v>
      </c>
      <c r="F23">
        <f>Livelihoods!AH14</f>
        <v>1.3847066151498611E-5</v>
      </c>
      <c r="G23">
        <f>Livelihoods!AI14</f>
        <v>2.613552167738282E-5</v>
      </c>
      <c r="H23" s="80">
        <f>Livelihoods!AJ14</f>
        <v>4.2445987734070131E-5</v>
      </c>
    </row>
    <row r="24" spans="2:8">
      <c r="B24" s="106" t="s">
        <v>52</v>
      </c>
      <c r="C24" s="121" t="s">
        <v>71</v>
      </c>
      <c r="D24" s="121">
        <f>Livelihoods!AF15</f>
        <v>1.1626729715511222E-4</v>
      </c>
      <c r="E24">
        <f>Livelihoods!AG15</f>
        <v>1.0677608922408265E-4</v>
      </c>
      <c r="F24">
        <f>Livelihoods!AH15</f>
        <v>1.1796722537912284E-4</v>
      </c>
      <c r="G24">
        <f>Livelihoods!AI15</f>
        <v>3.6231036648014917E-5</v>
      </c>
      <c r="H24" s="80">
        <f>Livelihoods!AJ15</f>
        <v>5.8841838174790399E-5</v>
      </c>
    </row>
    <row r="25" spans="2:8">
      <c r="B25" s="106" t="s">
        <v>52</v>
      </c>
      <c r="C25" s="121" t="s">
        <v>72</v>
      </c>
      <c r="D25" s="121">
        <f>Livelihoods!AF16</f>
        <v>2.4868882824526715E-3</v>
      </c>
      <c r="E25">
        <f>Livelihoods!AG16</f>
        <v>2.2838769940891888E-3</v>
      </c>
      <c r="F25">
        <f>Livelihoods!AH16</f>
        <v>2.5232487353465121E-3</v>
      </c>
      <c r="G25">
        <f>Livelihoods!AI16</f>
        <v>2.5577440285949436E-4</v>
      </c>
      <c r="H25" s="80">
        <f>Livelihoods!AJ16</f>
        <v>4.1539622971667337E-4</v>
      </c>
    </row>
    <row r="26" spans="2:8">
      <c r="B26" s="106" t="s">
        <v>52</v>
      </c>
      <c r="C26" s="121" t="s">
        <v>76</v>
      </c>
      <c r="D26" s="121">
        <f>Livelihoods!AF17</f>
        <v>2.0870512867964431E-4</v>
      </c>
      <c r="E26">
        <f>Livelihoods!AG17</f>
        <v>1.9166797531804071E-4</v>
      </c>
      <c r="F26">
        <f>Livelihoods!AH17</f>
        <v>2.1175657777512796E-4</v>
      </c>
      <c r="G26">
        <f>Livelihoods!AI17</f>
        <v>1.1345864924687621E-4</v>
      </c>
      <c r="H26" s="80">
        <f>Livelihoods!AJ17</f>
        <v>1.8426509689395756E-4</v>
      </c>
    </row>
    <row r="27" spans="2:8">
      <c r="B27" s="106" t="s">
        <v>52</v>
      </c>
      <c r="C27" s="121" t="s">
        <v>77</v>
      </c>
      <c r="D27" s="121">
        <f>Livelihoods!AF18</f>
        <v>3.9861100318980382E-3</v>
      </c>
      <c r="E27">
        <f>Livelihoods!AG18</f>
        <v>3.6607132946002391E-3</v>
      </c>
      <c r="F27">
        <f>Livelihoods!AH18</f>
        <v>4.044390400609073E-3</v>
      </c>
      <c r="G27">
        <f>Livelihoods!AI18</f>
        <v>1.8153192231173793E-3</v>
      </c>
      <c r="H27" s="80">
        <f>Livelihoods!AJ18</f>
        <v>2.9482104252214797E-3</v>
      </c>
    </row>
    <row r="28" spans="2:8">
      <c r="B28" s="107" t="s">
        <v>78</v>
      </c>
      <c r="C28" s="121" t="s">
        <v>79</v>
      </c>
      <c r="D28" s="121">
        <f>Health!$V$14</f>
        <v>2.0992404621245373</v>
      </c>
      <c r="E28">
        <f>Health!$V$14</f>
        <v>2.0992404621245373</v>
      </c>
      <c r="F28">
        <f>Health!$V$14</f>
        <v>2.0992404621245373</v>
      </c>
      <c r="G28">
        <f>Health!$V$14</f>
        <v>2.0992404621245373</v>
      </c>
      <c r="H28" s="80">
        <f>Health!$V$14</f>
        <v>2.0992404621245373</v>
      </c>
    </row>
    <row r="29" spans="2:8">
      <c r="B29" s="263" t="s">
        <v>85</v>
      </c>
      <c r="C29" s="121" t="s">
        <v>143</v>
      </c>
      <c r="D29" s="121">
        <f>'Animal welfare'!Z14</f>
        <v>0.8966096310499867</v>
      </c>
      <c r="E29">
        <f>'Animal welfare'!AA14</f>
        <v>0.74817141508313467</v>
      </c>
      <c r="F29">
        <f>'Animal welfare'!AB14</f>
        <v>0.91507713521087075</v>
      </c>
      <c r="G29">
        <f>'Animal welfare'!AC14</f>
        <v>0.37317291952989651</v>
      </c>
      <c r="H29" s="80">
        <f>'Animal welfare'!AD14</f>
        <v>0</v>
      </c>
    </row>
    <row r="30" spans="2:8">
      <c r="B30" s="263" t="s">
        <v>85</v>
      </c>
      <c r="C30" s="121" t="s">
        <v>144</v>
      </c>
      <c r="D30" s="121">
        <f>'Animal welfare'!Z15</f>
        <v>4.644328354277528</v>
      </c>
      <c r="E30">
        <f>'Animal welfare'!AA15</f>
        <v>0.18098382990021195</v>
      </c>
      <c r="F30">
        <f>'Animal welfare'!AB15</f>
        <v>1.4525175599883773</v>
      </c>
      <c r="G30">
        <f>'Animal welfare'!AC15</f>
        <v>0.13320659191140091</v>
      </c>
      <c r="H30" s="80">
        <f>'Animal welfare'!AD15</f>
        <v>0</v>
      </c>
    </row>
    <row r="31" spans="2:8">
      <c r="B31" s="263" t="s">
        <v>85</v>
      </c>
      <c r="C31" s="121" t="s">
        <v>145</v>
      </c>
      <c r="D31" s="121">
        <f>'Animal welfare'!Z16</f>
        <v>3.521976805306791</v>
      </c>
      <c r="E31">
        <f>'Animal welfare'!AA16</f>
        <v>0.45450547891461751</v>
      </c>
      <c r="F31">
        <f>'Animal welfare'!AB16</f>
        <v>0.57493626836663458</v>
      </c>
      <c r="G31">
        <f>'Animal welfare'!AC16</f>
        <v>0.43196531800368776</v>
      </c>
      <c r="H31" s="80">
        <f>'Animal welfare'!AD16</f>
        <v>0</v>
      </c>
    </row>
    <row r="32" spans="2:8">
      <c r="B32" s="263" t="s">
        <v>85</v>
      </c>
      <c r="C32" s="121" t="s">
        <v>146</v>
      </c>
      <c r="D32" s="121">
        <f>'Animal welfare'!Z17</f>
        <v>13.330733827822037</v>
      </c>
      <c r="E32">
        <f>'Animal welfare'!AA17</f>
        <v>3.0140889654337815</v>
      </c>
      <c r="F32">
        <f>'Animal welfare'!AB17</f>
        <v>1.0248863914361752</v>
      </c>
      <c r="G32">
        <f>'Animal welfare'!AC17</f>
        <v>2.3585669359066905</v>
      </c>
      <c r="H32" s="80">
        <f>'Animal welfare'!AD17</f>
        <v>0</v>
      </c>
    </row>
    <row r="33" spans="2:8">
      <c r="B33" s="108" t="s">
        <v>85</v>
      </c>
      <c r="C33" s="116" t="s">
        <v>147</v>
      </c>
      <c r="D33" s="116">
        <f>'Animal welfare'!Z18</f>
        <v>18.255760233412616</v>
      </c>
      <c r="E33" s="81">
        <f>'Animal welfare'!AA18</f>
        <v>13.879413849182114</v>
      </c>
      <c r="F33" s="81">
        <f>'Animal welfare'!AB18</f>
        <v>0.99274709693120355</v>
      </c>
      <c r="G33" s="81">
        <f>'Animal welfare'!AC18</f>
        <v>8.9767630595826393</v>
      </c>
      <c r="H33" s="82">
        <f>'Animal welfare'!AD18</f>
        <v>0</v>
      </c>
    </row>
    <row r="35" spans="2:8">
      <c r="B35" s="91" t="s">
        <v>148</v>
      </c>
    </row>
    <row r="36" spans="2:8">
      <c r="C36" s="302" t="s">
        <v>149</v>
      </c>
      <c r="D36" s="305"/>
      <c r="E36" s="305"/>
      <c r="F36" s="305"/>
      <c r="G36" s="306"/>
    </row>
    <row r="37" spans="2:8">
      <c r="B37" s="215" t="s">
        <v>2</v>
      </c>
      <c r="C37" s="149" t="s">
        <v>138</v>
      </c>
      <c r="D37" s="149" t="s">
        <v>139</v>
      </c>
      <c r="E37" s="149" t="s">
        <v>140</v>
      </c>
      <c r="F37" s="149" t="s">
        <v>141</v>
      </c>
      <c r="G37" s="126" t="s">
        <v>142</v>
      </c>
    </row>
    <row r="38" spans="2:8">
      <c r="B38" s="260" t="s">
        <v>12</v>
      </c>
      <c r="C38">
        <f>SUM(D7:D16)</f>
        <v>5.3652086302468369</v>
      </c>
      <c r="D38">
        <f>SUM(E7:E16)</f>
        <v>9.3070028897781256</v>
      </c>
      <c r="E38">
        <f>SUM(F7:F16)</f>
        <v>13.116012244153973</v>
      </c>
      <c r="F38">
        <f>SUM(G7:G16)</f>
        <v>18.164914264406185</v>
      </c>
      <c r="G38" s="80">
        <f>SUM(H7:H16)</f>
        <v>21.3725490727977</v>
      </c>
    </row>
    <row r="39" spans="2:8">
      <c r="B39" s="261" t="s">
        <v>52</v>
      </c>
      <c r="C39">
        <f>SUM(D17:D27)</f>
        <v>0.71809779417388742</v>
      </c>
      <c r="D39">
        <f>SUM(E17:E27)</f>
        <v>0.65947756607805985</v>
      </c>
      <c r="E39">
        <f>SUM(F17:F27)</f>
        <v>0.72859700364882185</v>
      </c>
      <c r="F39">
        <f>SUM(G17:G27)</f>
        <v>6.0358251853267271E-2</v>
      </c>
      <c r="G39" s="80">
        <f>SUM(H17:H27)</f>
        <v>9.8026190157542326E-2</v>
      </c>
    </row>
    <row r="40" spans="2:8">
      <c r="B40" s="262" t="s">
        <v>78</v>
      </c>
      <c r="C40">
        <f>SUM(D28)</f>
        <v>2.0992404621245373</v>
      </c>
      <c r="D40">
        <f>SUM(E28)</f>
        <v>2.0992404621245373</v>
      </c>
      <c r="E40">
        <f>SUM(F28)</f>
        <v>2.0992404621245373</v>
      </c>
      <c r="F40">
        <f>SUM(G28)</f>
        <v>2.0992404621245373</v>
      </c>
      <c r="G40" s="80">
        <f>SUM(H28)</f>
        <v>2.0992404621245373</v>
      </c>
    </row>
    <row r="41" spans="2:8">
      <c r="B41" s="265" t="s">
        <v>85</v>
      </c>
      <c r="C41">
        <f>SUM(D29:D33)</f>
        <v>40.649408851868955</v>
      </c>
      <c r="D41">
        <f>SUM(E29:E33)</f>
        <v>18.277163538513861</v>
      </c>
      <c r="E41">
        <f>SUM(F29:F33)</f>
        <v>4.9601644519332613</v>
      </c>
      <c r="F41">
        <f>SUM(G29:G33)</f>
        <v>12.273674824934314</v>
      </c>
      <c r="G41" s="80">
        <f>SUM(H29:H33)</f>
        <v>0</v>
      </c>
    </row>
    <row r="42" spans="2:8">
      <c r="B42" s="94" t="s">
        <v>150</v>
      </c>
      <c r="C42" s="149">
        <f>SUM(C38:C41)</f>
        <v>48.831955738414216</v>
      </c>
      <c r="D42" s="149">
        <f t="shared" ref="D42:G42" si="0">SUM(D38:D41)</f>
        <v>30.342884456494584</v>
      </c>
      <c r="E42" s="149">
        <f t="shared" si="0"/>
        <v>20.904014161860594</v>
      </c>
      <c r="F42" s="149">
        <f t="shared" si="0"/>
        <v>32.598187803318304</v>
      </c>
      <c r="G42" s="126">
        <f t="shared" si="0"/>
        <v>23.569815725079781</v>
      </c>
    </row>
    <row r="45" spans="2:8">
      <c r="B45" s="91" t="s">
        <v>151</v>
      </c>
    </row>
    <row r="46" spans="2:8">
      <c r="C46" s="299" t="s">
        <v>137</v>
      </c>
      <c r="D46" s="300"/>
      <c r="E46" s="300"/>
      <c r="F46" s="300"/>
      <c r="G46" s="301"/>
    </row>
    <row r="47" spans="2:8">
      <c r="C47" s="266" t="s">
        <v>138</v>
      </c>
      <c r="D47" s="89" t="s">
        <v>139</v>
      </c>
      <c r="E47" s="89" t="s">
        <v>140</v>
      </c>
      <c r="F47" s="89" t="s">
        <v>141</v>
      </c>
      <c r="G47" s="267" t="s">
        <v>142</v>
      </c>
    </row>
    <row r="48" spans="2:8">
      <c r="B48" s="274" t="s">
        <v>152</v>
      </c>
      <c r="C48" s="130">
        <f>D16+D14+D12+D9</f>
        <v>2.4100673551423538E-2</v>
      </c>
      <c r="D48" s="130">
        <f>E16+E14+E12+E9</f>
        <v>3.0600996073731689E-2</v>
      </c>
      <c r="E48" s="130">
        <f>F16+F14+F12+F9</f>
        <v>2.9897993419877342E-2</v>
      </c>
      <c r="F48" s="130">
        <f>G16+G14+G12+G9</f>
        <v>4.7351003725694139E-2</v>
      </c>
      <c r="G48" s="111">
        <f>H16+H14+H12+H9</f>
        <v>4.6935586718413046E-2</v>
      </c>
    </row>
    <row r="49" spans="2:7">
      <c r="B49" s="260" t="s">
        <v>48</v>
      </c>
      <c r="C49">
        <f>D13</f>
        <v>0.19899726444563282</v>
      </c>
      <c r="D49">
        <f>E13</f>
        <v>0.16871170036962191</v>
      </c>
      <c r="E49">
        <f>F13</f>
        <v>0.17517823678220709</v>
      </c>
      <c r="F49">
        <f>G13</f>
        <v>0.42925536612827087</v>
      </c>
      <c r="G49" s="80">
        <f>H13</f>
        <v>0.41501430446929333</v>
      </c>
    </row>
    <row r="50" spans="2:7">
      <c r="B50" s="260" t="s">
        <v>37</v>
      </c>
      <c r="C50">
        <f>D15</f>
        <v>0.62629698161084391</v>
      </c>
      <c r="D50">
        <f>E15</f>
        <v>1.063240696428889</v>
      </c>
      <c r="E50">
        <f>F15</f>
        <v>1.6104388978789945</v>
      </c>
      <c r="F50">
        <f>G15</f>
        <v>2.0231847975192458</v>
      </c>
      <c r="G50" s="80">
        <f>H15</f>
        <v>2.6021082518505132</v>
      </c>
    </row>
    <row r="51" spans="2:7">
      <c r="B51" s="260" t="s">
        <v>42</v>
      </c>
      <c r="C51">
        <f>D10</f>
        <v>0.38406011712242871</v>
      </c>
      <c r="D51">
        <f>E10</f>
        <v>0.30386946730806996</v>
      </c>
      <c r="E51">
        <f>F10</f>
        <v>0.32032666453707165</v>
      </c>
      <c r="F51">
        <f>G10</f>
        <v>0.74680212617132602</v>
      </c>
      <c r="G51" s="80">
        <f>H10</f>
        <v>0.75152395822026519</v>
      </c>
    </row>
    <row r="52" spans="2:7">
      <c r="B52" s="260" t="s">
        <v>25</v>
      </c>
      <c r="C52">
        <f>D8</f>
        <v>0.29514278506198521</v>
      </c>
      <c r="D52">
        <f>E8</f>
        <v>0.29873349402043076</v>
      </c>
      <c r="E52">
        <f>F8</f>
        <v>0.41622055879935643</v>
      </c>
      <c r="F52">
        <f>G8</f>
        <v>0.55069935121416458</v>
      </c>
      <c r="G52" s="80">
        <f>H8</f>
        <v>0.65209133823318244</v>
      </c>
    </row>
    <row r="53" spans="2:7">
      <c r="B53" s="260" t="s">
        <v>20</v>
      </c>
      <c r="C53">
        <f>D11</f>
        <v>2.4856121905887649</v>
      </c>
      <c r="D53">
        <f>E11</f>
        <v>5.3703111112614597</v>
      </c>
      <c r="E53">
        <f>F11</f>
        <v>7.4657597527359485</v>
      </c>
      <c r="F53">
        <f>G11</f>
        <v>10.319609948852046</v>
      </c>
      <c r="G53" s="80">
        <f>H11</f>
        <v>11.815481050037144</v>
      </c>
    </row>
    <row r="54" spans="2:7">
      <c r="B54" s="275" t="s">
        <v>13</v>
      </c>
      <c r="C54" s="81">
        <f>D7</f>
        <v>1.3509986178657576</v>
      </c>
      <c r="D54" s="81">
        <f>E7</f>
        <v>2.0715354243159219</v>
      </c>
      <c r="E54" s="81">
        <f>F7</f>
        <v>3.0981901400005172</v>
      </c>
      <c r="F54" s="81">
        <f>G7</f>
        <v>4.0480116707954368</v>
      </c>
      <c r="G54" s="82">
        <f>H7</f>
        <v>5.089394583268894</v>
      </c>
    </row>
    <row r="56" spans="2:7">
      <c r="B56" s="91" t="s">
        <v>153</v>
      </c>
    </row>
    <row r="57" spans="2:7">
      <c r="C57" s="302" t="s">
        <v>137</v>
      </c>
      <c r="D57" s="300"/>
      <c r="E57" s="300"/>
      <c r="F57" s="300"/>
      <c r="G57" s="301"/>
    </row>
    <row r="58" spans="2:7">
      <c r="C58" s="94" t="s">
        <v>138</v>
      </c>
      <c r="D58" s="89" t="s">
        <v>139</v>
      </c>
      <c r="E58" s="89" t="s">
        <v>140</v>
      </c>
      <c r="F58" s="89" t="s">
        <v>141</v>
      </c>
      <c r="G58" s="267" t="s">
        <v>142</v>
      </c>
    </row>
    <row r="59" spans="2:7">
      <c r="B59" s="276" t="s">
        <v>154</v>
      </c>
      <c r="C59" s="270">
        <f>SUM(D19:D21)</f>
        <v>0</v>
      </c>
      <c r="D59" s="268">
        <f>SUM(E19:E21)</f>
        <v>0</v>
      </c>
      <c r="E59" s="268">
        <f>SUM(F19:F21)</f>
        <v>0</v>
      </c>
      <c r="F59" s="268">
        <f>SUM(G19:G21)</f>
        <v>6.8140006008743648E-3</v>
      </c>
      <c r="G59" s="269">
        <f>SUM(H19:H21)</f>
        <v>1.106643247817591E-2</v>
      </c>
    </row>
    <row r="60" spans="2:7">
      <c r="B60" s="277" t="s">
        <v>155</v>
      </c>
      <c r="C60" s="270">
        <f>SUM(D22:D24)</f>
        <v>6.6659143108033841E-3</v>
      </c>
      <c r="D60" s="270">
        <f>SUM(E22:E24)</f>
        <v>6.1217580405337211E-3</v>
      </c>
      <c r="E60" s="270">
        <f>SUM(F22:F24)</f>
        <v>6.763375730764438E-3</v>
      </c>
      <c r="F60" s="270">
        <f>SUM(G22:G24)</f>
        <v>1.3843112905574641E-2</v>
      </c>
      <c r="G60" s="271">
        <f>SUM(H22:H24)</f>
        <v>2.2482222005916704E-2</v>
      </c>
    </row>
    <row r="61" spans="2:7">
      <c r="B61" s="277" t="s">
        <v>53</v>
      </c>
      <c r="C61" s="270">
        <f>D17</f>
        <v>0.59933486315605511</v>
      </c>
      <c r="D61" s="270">
        <f>E17</f>
        <v>0.55040956820454034</v>
      </c>
      <c r="E61" s="270">
        <f>F17</f>
        <v>0.60809765608615396</v>
      </c>
      <c r="F61" s="270">
        <f>G17</f>
        <v>3.7516586071594513E-2</v>
      </c>
      <c r="G61" s="271">
        <f>H17</f>
        <v>6.0929663921617618E-2</v>
      </c>
    </row>
    <row r="62" spans="2:7">
      <c r="B62" s="277" t="s">
        <v>156</v>
      </c>
      <c r="C62" s="270">
        <f>D18</f>
        <v>0.10541531326399861</v>
      </c>
      <c r="D62" s="270">
        <f>E18</f>
        <v>9.680998156897834E-2</v>
      </c>
      <c r="E62" s="270">
        <f>F18</f>
        <v>0.10695657611817269</v>
      </c>
      <c r="F62" s="270">
        <f>G18</f>
        <v>0</v>
      </c>
      <c r="G62" s="271">
        <f>H18</f>
        <v>0</v>
      </c>
    </row>
    <row r="63" spans="2:7">
      <c r="B63" s="278" t="s">
        <v>157</v>
      </c>
      <c r="C63" s="272">
        <f>SUM(D25:D27)</f>
        <v>6.6817034430303544E-3</v>
      </c>
      <c r="D63" s="272">
        <f>SUM(E25:E27)</f>
        <v>6.136258264007469E-3</v>
      </c>
      <c r="E63" s="272">
        <f>SUM(F25:F27)</f>
        <v>6.7793957137307131E-3</v>
      </c>
      <c r="F63" s="272">
        <f>SUM(G25:G27)</f>
        <v>2.1845522752237498E-3</v>
      </c>
      <c r="G63" s="273">
        <f>SUM(H25:H27)</f>
        <v>3.5478717518321106E-3</v>
      </c>
    </row>
  </sheetData>
  <mergeCells count="5">
    <mergeCell ref="C46:G46"/>
    <mergeCell ref="C57:G57"/>
    <mergeCell ref="D5:H5"/>
    <mergeCell ref="C36:G36"/>
    <mergeCell ref="B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52BF-217E-4946-8311-89AF1DB439F3}">
  <dimension ref="B2:W93"/>
  <sheetViews>
    <sheetView workbookViewId="0">
      <selection activeCell="B116" sqref="B116"/>
    </sheetView>
  </sheetViews>
  <sheetFormatPr defaultRowHeight="15.75"/>
  <sheetData>
    <row r="2" spans="2:23" ht="26.25">
      <c r="B2" s="307" t="s">
        <v>158</v>
      </c>
      <c r="C2" s="307"/>
      <c r="D2" s="307"/>
      <c r="E2" s="307"/>
      <c r="F2" s="307"/>
      <c r="G2" s="307"/>
      <c r="H2" s="307"/>
      <c r="I2" s="307"/>
      <c r="J2" s="307"/>
      <c r="K2" s="307"/>
      <c r="N2" s="307"/>
      <c r="O2" s="307"/>
      <c r="P2" s="307"/>
      <c r="Q2" s="307"/>
      <c r="R2" s="307"/>
      <c r="S2" s="307"/>
      <c r="T2" s="307"/>
      <c r="U2" s="307"/>
      <c r="V2" s="307"/>
      <c r="W2" s="307"/>
    </row>
    <row r="23" spans="2:11" ht="26.25">
      <c r="B23" s="307" t="s">
        <v>159</v>
      </c>
      <c r="C23" s="307"/>
      <c r="D23" s="307"/>
      <c r="E23" s="307"/>
      <c r="F23" s="307"/>
      <c r="G23" s="307"/>
      <c r="H23" s="307"/>
      <c r="I23" s="307"/>
      <c r="J23" s="307"/>
      <c r="K23" s="307"/>
    </row>
    <row r="47" spans="2:2" ht="26.25">
      <c r="B47" s="220" t="s">
        <v>52</v>
      </c>
    </row>
    <row r="71" spans="2:10" ht="26.25">
      <c r="B71" s="307" t="s">
        <v>160</v>
      </c>
      <c r="C71" s="307"/>
      <c r="D71" s="307"/>
      <c r="E71" s="307"/>
      <c r="F71" s="307"/>
      <c r="G71" s="307"/>
      <c r="H71" s="307"/>
      <c r="I71" s="307"/>
      <c r="J71" s="307"/>
    </row>
    <row r="93" spans="2:10" ht="26.25">
      <c r="B93" s="307" t="s">
        <v>161</v>
      </c>
      <c r="C93" s="307"/>
      <c r="D93" s="307"/>
      <c r="E93" s="307"/>
      <c r="F93" s="307"/>
      <c r="G93" s="307"/>
      <c r="H93" s="307"/>
      <c r="I93" s="307"/>
      <c r="J93" s="307"/>
    </row>
  </sheetData>
  <mergeCells count="5">
    <mergeCell ref="B23:K23"/>
    <mergeCell ref="B93:J93"/>
    <mergeCell ref="B2:K2"/>
    <mergeCell ref="N2:W2"/>
    <mergeCell ref="B71:J7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7867-3844-2243-BD13-E680FDB9F0EC}">
  <sheetPr>
    <tabColor theme="9" tint="0.79998168889431442"/>
  </sheetPr>
  <dimension ref="B2:R79"/>
  <sheetViews>
    <sheetView zoomScale="88" workbookViewId="0">
      <selection activeCell="K4" sqref="K4:R4"/>
    </sheetView>
  </sheetViews>
  <sheetFormatPr defaultColWidth="11" defaultRowHeight="15.95"/>
  <cols>
    <col min="2" max="2" width="28.375" customWidth="1"/>
    <col min="3" max="3" width="15.625" customWidth="1"/>
    <col min="4" max="4" width="23.125" customWidth="1"/>
    <col min="5" max="5" width="28" customWidth="1"/>
    <col min="6" max="6" width="19.125" customWidth="1"/>
    <col min="7" max="7" width="24.75" customWidth="1"/>
    <col min="8" max="8" width="17.875" customWidth="1"/>
    <col min="9" max="9" width="14.5" customWidth="1"/>
    <col min="11" max="11" width="31.125" customWidth="1"/>
    <col min="12" max="12" width="21.75" customWidth="1"/>
    <col min="13" max="13" width="25.75" customWidth="1"/>
    <col min="14" max="14" width="21.375" customWidth="1"/>
    <col min="15" max="15" width="24.875" customWidth="1"/>
    <col min="16" max="16" width="17.5" customWidth="1"/>
    <col min="17" max="17" width="20.25" customWidth="1"/>
  </cols>
  <sheetData>
    <row r="2" spans="2:18" ht="26.25">
      <c r="B2" s="307" t="s">
        <v>159</v>
      </c>
      <c r="C2" s="307"/>
      <c r="D2" s="307"/>
      <c r="E2" s="307"/>
      <c r="F2" s="307"/>
      <c r="G2" s="307"/>
      <c r="H2" s="307"/>
      <c r="I2" s="307"/>
      <c r="J2" s="307"/>
      <c r="K2" s="307"/>
    </row>
    <row r="3" spans="2:18" ht="15.75"/>
    <row r="4" spans="2:18" ht="23.25" customHeight="1">
      <c r="B4" s="308" t="s">
        <v>162</v>
      </c>
      <c r="C4" s="309"/>
      <c r="D4" s="309"/>
      <c r="E4" s="309"/>
      <c r="F4" s="309"/>
      <c r="G4" s="309"/>
      <c r="H4" s="309"/>
      <c r="I4" s="310"/>
      <c r="K4" s="308" t="s">
        <v>163</v>
      </c>
      <c r="L4" s="309"/>
      <c r="M4" s="309"/>
      <c r="N4" s="309"/>
      <c r="O4" s="309"/>
      <c r="P4" s="309"/>
      <c r="Q4" s="309"/>
      <c r="R4" s="310"/>
    </row>
    <row r="5" spans="2:18" ht="15.75"/>
    <row r="6" spans="2:18" ht="15.75"/>
    <row r="7" spans="2:18" ht="15.95" customHeight="1">
      <c r="B7" s="215" t="s">
        <v>164</v>
      </c>
      <c r="C7" s="216" t="s">
        <v>165</v>
      </c>
      <c r="D7" s="216" t="s">
        <v>138</v>
      </c>
      <c r="E7" s="216" t="s">
        <v>139</v>
      </c>
      <c r="F7" s="217" t="s">
        <v>140</v>
      </c>
      <c r="G7" s="216" t="s">
        <v>166</v>
      </c>
      <c r="H7" s="218" t="s">
        <v>142</v>
      </c>
      <c r="K7" s="215" t="s">
        <v>164</v>
      </c>
      <c r="L7" s="216" t="s">
        <v>138</v>
      </c>
      <c r="M7" s="216" t="s">
        <v>139</v>
      </c>
      <c r="N7" s="217" t="s">
        <v>140</v>
      </c>
      <c r="O7" s="216" t="s">
        <v>166</v>
      </c>
      <c r="P7" s="216" t="s">
        <v>142</v>
      </c>
      <c r="Q7" s="216" t="s">
        <v>167</v>
      </c>
    </row>
    <row r="8" spans="2:18" ht="15.95" customHeight="1">
      <c r="B8" s="213" t="s">
        <v>13</v>
      </c>
      <c r="C8" t="s">
        <v>168</v>
      </c>
      <c r="D8">
        <v>2.0224530207571222E-2</v>
      </c>
      <c r="E8">
        <v>3.1011009346046736E-2</v>
      </c>
      <c r="F8">
        <v>4.6380091916175412E-2</v>
      </c>
      <c r="G8">
        <v>6.0598977107716126E-2</v>
      </c>
      <c r="H8" s="80">
        <v>7.6188541665702006E-2</v>
      </c>
      <c r="K8" s="213" t="s">
        <v>13</v>
      </c>
      <c r="L8">
        <f>VLOOKUP(B8,'Monetization factors'!$C$6:$I$28, 7,FALSE)*D8</f>
        <v>1.3509986178657576</v>
      </c>
      <c r="M8">
        <f>VLOOKUP(B8,'Monetization factors'!$C$6:$I$28, 7,FALSE)*E8</f>
        <v>2.0715354243159219</v>
      </c>
      <c r="N8">
        <f>VLOOKUP(B8,'Monetization factors'!$C$6:$I$28, 7,FALSE)*F8</f>
        <v>3.0981901400005172</v>
      </c>
      <c r="O8">
        <f>VLOOKUP(B8,'Monetization factors'!$C$6:$I$28, 7,FALSE)*G8</f>
        <v>4.0480116707954368</v>
      </c>
      <c r="P8">
        <f>VLOOKUP(B8,'Monetization factors'!$C$6:$I$28, 7,FALSE)*H8</f>
        <v>5.089394583268894</v>
      </c>
      <c r="Q8" s="127" t="s">
        <v>169</v>
      </c>
    </row>
    <row r="9" spans="2:18" ht="15.95" customHeight="1">
      <c r="B9" s="213" t="s">
        <v>25</v>
      </c>
      <c r="C9" t="s">
        <v>26</v>
      </c>
      <c r="D9">
        <v>0.64161475013475044</v>
      </c>
      <c r="E9">
        <v>0.64942063917484949</v>
      </c>
      <c r="F9">
        <v>0.90482730173773129</v>
      </c>
      <c r="G9">
        <v>1.1971725026394882</v>
      </c>
      <c r="H9" s="80">
        <v>1.4175898657243096</v>
      </c>
      <c r="K9" s="213" t="s">
        <v>25</v>
      </c>
      <c r="L9">
        <f>VLOOKUP(B9,'Monetization factors'!$C$6:$I$28, 7,FALSE)*D9</f>
        <v>0.29514278506198521</v>
      </c>
      <c r="M9">
        <f>VLOOKUP(B9,'Monetization factors'!$C$6:$I$28, 7,FALSE)*E9</f>
        <v>0.29873349402043076</v>
      </c>
      <c r="N9">
        <f>VLOOKUP(B9,'Monetization factors'!$C$6:$I$28, 7,FALSE)*F9</f>
        <v>0.41622055879935643</v>
      </c>
      <c r="O9">
        <f>VLOOKUP(B9,'Monetization factors'!$C$6:$I$28, 7,FALSE)*G9</f>
        <v>0.55069935121416458</v>
      </c>
      <c r="P9">
        <f>VLOOKUP(B9,'Monetization factors'!$C$6:$I$28, 7,FALSE)*H9</f>
        <v>0.65209133823318244</v>
      </c>
      <c r="Q9" s="127" t="s">
        <v>169</v>
      </c>
    </row>
    <row r="10" spans="2:18" ht="15.95" customHeight="1">
      <c r="B10" s="213" t="s">
        <v>41</v>
      </c>
      <c r="C10" t="s">
        <v>170</v>
      </c>
      <c r="D10">
        <v>0.15523987389556632</v>
      </c>
      <c r="E10">
        <v>0.11104865543462292</v>
      </c>
      <c r="F10">
        <v>0.12365681635228733</v>
      </c>
      <c r="G10">
        <v>0.23731585610576139</v>
      </c>
      <c r="H10" s="80">
        <v>0.25615683087599689</v>
      </c>
      <c r="K10" s="213" t="s">
        <v>41</v>
      </c>
      <c r="L10">
        <f>VLOOKUP(B10,'Monetization factors'!$C$6:$I$28, 7,FALSE)*D10</f>
        <v>6.4735027414451153E-3</v>
      </c>
      <c r="M10">
        <f>VLOOKUP(B10,'Monetization factors'!$C$6:$I$28, 7,FALSE)*E10</f>
        <v>4.6307289316237761E-3</v>
      </c>
      <c r="N10">
        <f>VLOOKUP(B10,'Monetization factors'!$C$6:$I$28, 7,FALSE)*F10</f>
        <v>5.1564892418903821E-3</v>
      </c>
      <c r="O10">
        <f>VLOOKUP(B10,'Monetization factors'!$C$6:$I$28, 7,FALSE)*G10</f>
        <v>9.8960711996102495E-3</v>
      </c>
      <c r="P10">
        <f>VLOOKUP(B10,'Monetization factors'!$C$6:$I$28, 7,FALSE)*H10</f>
        <v>1.068173984752907E-2</v>
      </c>
      <c r="Q10" s="127" t="s">
        <v>169</v>
      </c>
    </row>
    <row r="11" spans="2:18" ht="15.95" customHeight="1">
      <c r="B11" s="213" t="s">
        <v>42</v>
      </c>
      <c r="C11" t="s">
        <v>43</v>
      </c>
      <c r="D11">
        <v>1.8376082158967882E-3</v>
      </c>
      <c r="E11">
        <v>1.453920896210861E-3</v>
      </c>
      <c r="F11">
        <v>1.5326634666845533E-3</v>
      </c>
      <c r="G11">
        <v>3.5732159146953397E-3</v>
      </c>
      <c r="H11" s="80">
        <v>3.595808412537154E-3</v>
      </c>
      <c r="K11" s="213" t="s">
        <v>42</v>
      </c>
      <c r="L11">
        <f>VLOOKUP(B11,'Monetization factors'!$C$6:$I$28, 7,FALSE)*D11</f>
        <v>0.38406011712242871</v>
      </c>
      <c r="M11">
        <f>VLOOKUP(B11,'Monetization factors'!$C$6:$I$28, 7,FALSE)*E11</f>
        <v>0.30386946730806996</v>
      </c>
      <c r="N11">
        <f>VLOOKUP(B11,'Monetization factors'!$C$6:$I$28, 7,FALSE)*F11</f>
        <v>0.32032666453707165</v>
      </c>
      <c r="O11">
        <f>VLOOKUP(B11,'Monetization factors'!$C$6:$I$28, 7,FALSE)*G11</f>
        <v>0.74680212617132602</v>
      </c>
      <c r="P11">
        <f>VLOOKUP(B11,'Monetization factors'!$C$6:$I$28, 7,FALSE)*H11</f>
        <v>0.75152395822026519</v>
      </c>
      <c r="Q11" s="127" t="s">
        <v>169</v>
      </c>
    </row>
    <row r="12" spans="2:18" ht="15.95" customHeight="1">
      <c r="B12" s="213" t="s">
        <v>20</v>
      </c>
      <c r="C12" t="s">
        <v>21</v>
      </c>
      <c r="D12">
        <v>15.249154543489356</v>
      </c>
      <c r="E12">
        <v>32.946693934119381</v>
      </c>
      <c r="F12">
        <v>45.802207071999682</v>
      </c>
      <c r="G12">
        <v>63.310490483754876</v>
      </c>
      <c r="H12" s="80">
        <v>72.487613803908857</v>
      </c>
      <c r="K12" s="213" t="s">
        <v>20</v>
      </c>
      <c r="L12">
        <f>VLOOKUP(B12,'Monetization factors'!$C$6:$I$28, 7,FALSE)*D12</f>
        <v>2.4856121905887649</v>
      </c>
      <c r="M12">
        <f>VLOOKUP(B12,'Monetization factors'!$C$6:$I$28, 7,FALSE)*E12</f>
        <v>5.3703111112614597</v>
      </c>
      <c r="N12">
        <f>VLOOKUP(B12,'Monetization factors'!$C$6:$I$28, 7,FALSE)*F12</f>
        <v>7.4657597527359485</v>
      </c>
      <c r="O12">
        <f>VLOOKUP(B12,'Monetization factors'!$C$6:$I$28, 7,FALSE)*G12</f>
        <v>10.319609948852046</v>
      </c>
      <c r="P12">
        <f>VLOOKUP(B12,'Monetization factors'!$C$6:$I$28, 7,FALSE)*H12</f>
        <v>11.815481050037144</v>
      </c>
      <c r="Q12" s="127" t="s">
        <v>169</v>
      </c>
    </row>
    <row r="13" spans="2:18" ht="15.95" customHeight="1">
      <c r="B13" s="213" t="s">
        <v>47</v>
      </c>
      <c r="C13" t="s">
        <v>170</v>
      </c>
      <c r="D13">
        <v>0.14869191517591426</v>
      </c>
      <c r="E13">
        <v>0.14425097938565165</v>
      </c>
      <c r="F13">
        <v>0.17167013033286413</v>
      </c>
      <c r="G13">
        <v>0.32211911818877165</v>
      </c>
      <c r="H13" s="80">
        <v>0.35114755857636115</v>
      </c>
      <c r="K13" s="213" t="s">
        <v>47</v>
      </c>
      <c r="L13">
        <f>VLOOKUP(B13,'Monetization factors'!$C$6:$I$28, 7,FALSE)*D13</f>
        <v>2.8251463883423712E-4</v>
      </c>
      <c r="M13">
        <f>VLOOKUP(B13,'Monetization factors'!$C$6:$I$28, 7,FALSE)*E13</f>
        <v>2.7407686083273815E-4</v>
      </c>
      <c r="N13">
        <f>VLOOKUP(B13,'Monetization factors'!$C$6:$I$28, 7,FALSE)*F13</f>
        <v>3.2617324763244186E-4</v>
      </c>
      <c r="O13">
        <f>VLOOKUP(B13,'Monetization factors'!$C$6:$I$28, 7,FALSE)*G13</f>
        <v>6.1202632455866618E-4</v>
      </c>
      <c r="P13">
        <f>VLOOKUP(B13,'Monetization factors'!$C$6:$I$28, 7,FALSE)*H13</f>
        <v>6.6718036129508615E-4</v>
      </c>
      <c r="Q13" s="127" t="s">
        <v>169</v>
      </c>
    </row>
    <row r="14" spans="2:18" ht="15.95" customHeight="1">
      <c r="B14" s="213" t="s">
        <v>48</v>
      </c>
      <c r="C14" t="s">
        <v>49</v>
      </c>
      <c r="D14">
        <v>1.3723949272112608E-2</v>
      </c>
      <c r="E14">
        <v>1.1635289680663579E-2</v>
      </c>
      <c r="F14">
        <v>1.208125770911773E-2</v>
      </c>
      <c r="G14">
        <v>2.9603818353673851E-2</v>
      </c>
      <c r="H14" s="80">
        <v>2.8621676170296092E-2</v>
      </c>
      <c r="K14" s="213" t="s">
        <v>48</v>
      </c>
      <c r="L14">
        <f>VLOOKUP(B14,'Monetization factors'!$C$6:$I$28, 7,FALSE)*D14</f>
        <v>0.19899726444563282</v>
      </c>
      <c r="M14">
        <f>VLOOKUP(B14,'Monetization factors'!$C$6:$I$28, 7,FALSE)*E14</f>
        <v>0.16871170036962191</v>
      </c>
      <c r="N14">
        <f>VLOOKUP(B14,'Monetization factors'!$C$6:$I$28, 7,FALSE)*F14</f>
        <v>0.17517823678220709</v>
      </c>
      <c r="O14">
        <f>VLOOKUP(B14,'Monetization factors'!$C$6:$I$28, 7,FALSE)*G14</f>
        <v>0.42925536612827087</v>
      </c>
      <c r="P14">
        <f>VLOOKUP(B14,'Monetization factors'!$C$6:$I$28, 7,FALSE)*H14</f>
        <v>0.41501430446929333</v>
      </c>
      <c r="Q14" s="127" t="s">
        <v>169</v>
      </c>
    </row>
    <row r="15" spans="2:18" ht="15.95" customHeight="1">
      <c r="B15" s="213" t="s">
        <v>29</v>
      </c>
      <c r="C15" t="s">
        <v>30</v>
      </c>
      <c r="D15">
        <v>6.3489205590261458E-2</v>
      </c>
      <c r="E15">
        <v>0.10485401572433604</v>
      </c>
      <c r="F15">
        <v>9.7164246738678198E-2</v>
      </c>
      <c r="G15">
        <v>0.14374656192773266</v>
      </c>
      <c r="H15" s="80">
        <v>0.13628815020224838</v>
      </c>
      <c r="K15" s="213" t="s">
        <v>29</v>
      </c>
      <c r="L15">
        <f>VLOOKUP(B15,'Monetization factors'!$C$6:$I$28, 7,FALSE)*D15</f>
        <v>1.4158092846628305E-2</v>
      </c>
      <c r="M15">
        <f>VLOOKUP(B15,'Monetization factors'!$C$6:$I$28, 7,FALSE)*E15</f>
        <v>2.3382445506526937E-2</v>
      </c>
      <c r="N15">
        <f>VLOOKUP(B15,'Monetization factors'!$C$6:$I$28, 7,FALSE)*F15</f>
        <v>2.166762702272524E-2</v>
      </c>
      <c r="O15">
        <f>VLOOKUP(B15,'Monetization factors'!$C$6:$I$28, 7,FALSE)*G15</f>
        <v>3.2055483309884385E-2</v>
      </c>
      <c r="P15">
        <f>VLOOKUP(B15,'Monetization factors'!$C$6:$I$28, 7,FALSE)*H15</f>
        <v>3.0392257495101389E-2</v>
      </c>
      <c r="Q15" s="127" t="s">
        <v>169</v>
      </c>
    </row>
    <row r="16" spans="2:18" ht="15.95" customHeight="1">
      <c r="B16" s="213" t="s">
        <v>37</v>
      </c>
      <c r="C16" t="s">
        <v>38</v>
      </c>
      <c r="D16">
        <v>0.12993713311428295</v>
      </c>
      <c r="E16">
        <v>0.22058935610557859</v>
      </c>
      <c r="F16">
        <v>0.33411595391680382</v>
      </c>
      <c r="G16">
        <v>0.41974788330274804</v>
      </c>
      <c r="H16" s="80">
        <v>0.53985648378641349</v>
      </c>
      <c r="K16" s="213" t="s">
        <v>37</v>
      </c>
      <c r="L16">
        <f>VLOOKUP(B16,'Monetization factors'!$C$6:$I$28, 7,FALSE)*D16</f>
        <v>0.62629698161084391</v>
      </c>
      <c r="M16">
        <f>VLOOKUP(B16,'Monetization factors'!$C$6:$I$28, 7,FALSE)*E16</f>
        <v>1.063240696428889</v>
      </c>
      <c r="N16">
        <f>VLOOKUP(B16,'Monetization factors'!$C$6:$I$28, 7,FALSE)*F16</f>
        <v>1.6104388978789945</v>
      </c>
      <c r="O16">
        <f>VLOOKUP(B16,'Monetization factors'!$C$6:$I$28, 7,FALSE)*G16</f>
        <v>2.0231847975192458</v>
      </c>
      <c r="P16">
        <f>VLOOKUP(B16,'Monetization factors'!$C$6:$I$28, 7,FALSE)*H16</f>
        <v>2.6021082518505132</v>
      </c>
      <c r="Q16" s="127" t="s">
        <v>169</v>
      </c>
    </row>
    <row r="17" spans="2:17" ht="15.95" customHeight="1">
      <c r="B17" s="214" t="s">
        <v>33</v>
      </c>
      <c r="C17" s="81" t="s">
        <v>170</v>
      </c>
      <c r="D17" s="81">
        <v>10.621877748386272</v>
      </c>
      <c r="E17" s="81">
        <v>7.7124825824941396</v>
      </c>
      <c r="F17" s="81">
        <v>9.159013025430923</v>
      </c>
      <c r="G17" s="81">
        <v>15.958076305469467</v>
      </c>
      <c r="H17" s="82">
        <v>17.314696714958334</v>
      </c>
      <c r="K17" s="213" t="s">
        <v>33</v>
      </c>
      <c r="L17">
        <f>VLOOKUP(B17,'Monetization factors'!$C$6:$I$28, 7,FALSE)*D17</f>
        <v>3.1865633245158819E-3</v>
      </c>
      <c r="M17">
        <f>VLOOKUP(B17,'Monetization factors'!$C$6:$I$28, 7,FALSE)*E17</f>
        <v>2.3137447747482421E-3</v>
      </c>
      <c r="N17">
        <f>VLOOKUP(B17,'Monetization factors'!$C$6:$I$28, 7,FALSE)*F17</f>
        <v>2.7477039076292771E-3</v>
      </c>
      <c r="O17">
        <f>VLOOKUP(B17,'Monetization factors'!$C$6:$I$28, 7,FALSE)*G17</f>
        <v>4.7874228916408405E-3</v>
      </c>
      <c r="P17">
        <f>VLOOKUP(B17,'Monetization factors'!$C$6:$I$28, 7,FALSE)*H17</f>
        <v>5.1944090144875003E-3</v>
      </c>
      <c r="Q17" s="127" t="s">
        <v>169</v>
      </c>
    </row>
    <row r="18" spans="2:17" ht="15.95" customHeight="1">
      <c r="K18" s="94" t="s">
        <v>171</v>
      </c>
      <c r="L18" s="149">
        <f>SUM(L8:L17)</f>
        <v>5.3652086302468369</v>
      </c>
      <c r="M18" s="149">
        <f t="shared" ref="M18:P18" si="0">SUM(M8:M17)</f>
        <v>9.3070028897781256</v>
      </c>
      <c r="N18" s="149">
        <f t="shared" si="0"/>
        <v>13.116012244153973</v>
      </c>
      <c r="O18" s="149">
        <f t="shared" si="0"/>
        <v>18.164914264406185</v>
      </c>
      <c r="P18" s="149">
        <f t="shared" si="0"/>
        <v>21.3725490727977</v>
      </c>
      <c r="Q18" s="222" t="s">
        <v>169</v>
      </c>
    </row>
    <row r="19" spans="2:17" ht="15.95" customHeight="1">
      <c r="B19" s="209" t="s">
        <v>172</v>
      </c>
    </row>
    <row r="20" spans="2:17" ht="15.95" customHeight="1">
      <c r="B20" s="1" t="s">
        <v>173</v>
      </c>
      <c r="C20" t="s">
        <v>174</v>
      </c>
    </row>
    <row r="21" spans="2:17" ht="15.75">
      <c r="B21" s="5" t="s">
        <v>175</v>
      </c>
      <c r="C21" t="s">
        <v>176</v>
      </c>
    </row>
    <row r="22" spans="2:17" ht="15.75">
      <c r="B22" s="5" t="s">
        <v>177</v>
      </c>
      <c r="C22" t="s">
        <v>178</v>
      </c>
    </row>
    <row r="23" spans="2:17" ht="15.75">
      <c r="B23" s="5" t="s">
        <v>179</v>
      </c>
      <c r="C23" t="s">
        <v>180</v>
      </c>
    </row>
    <row r="24" spans="2:17" ht="15.75">
      <c r="B24" s="5" t="s">
        <v>181</v>
      </c>
      <c r="C24" t="s">
        <v>182</v>
      </c>
    </row>
    <row r="25" spans="2:17" ht="15.75"/>
    <row r="26" spans="2:17" ht="15.75"/>
    <row r="27" spans="2:17" ht="15.75"/>
    <row r="28" spans="2:17" ht="15.75"/>
    <row r="29" spans="2:17" ht="15.75"/>
    <row r="30" spans="2:17" ht="15.75"/>
    <row r="31" spans="2:17" ht="15.75"/>
    <row r="32" spans="2:17" ht="15.75">
      <c r="L32" s="32"/>
    </row>
    <row r="33" ht="15.75"/>
    <row r="34" ht="15.75"/>
    <row r="35" ht="15.75"/>
    <row r="36" ht="15.75"/>
    <row r="37" ht="15.75"/>
    <row r="38" ht="15.75"/>
    <row r="39" ht="15.75"/>
    <row r="40" ht="15.75"/>
    <row r="41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9" ht="15.75"/>
  </sheetData>
  <mergeCells count="3">
    <mergeCell ref="B2:K2"/>
    <mergeCell ref="B4:I4"/>
    <mergeCell ref="K4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0013-BD17-8440-BDB9-B0AB23BE4A4F}">
  <sheetPr>
    <tabColor theme="4" tint="0.79998168889431442"/>
  </sheetPr>
  <dimension ref="B2:AM212"/>
  <sheetViews>
    <sheetView workbookViewId="0">
      <selection activeCell="AF16" sqref="AF16"/>
    </sheetView>
  </sheetViews>
  <sheetFormatPr defaultColWidth="11" defaultRowHeight="15.75" customHeight="1"/>
  <cols>
    <col min="2" max="2" width="48" customWidth="1"/>
    <col min="3" max="3" width="26.125" customWidth="1"/>
    <col min="4" max="4" width="25.375" customWidth="1"/>
    <col min="5" max="5" width="22.25" customWidth="1"/>
    <col min="6" max="6" width="11" style="104"/>
    <col min="7" max="7" width="38.625" customWidth="1"/>
    <col min="8" max="8" width="52" customWidth="1"/>
    <col min="12" max="12" width="34.75" customWidth="1"/>
    <col min="13" max="13" width="33.125" customWidth="1"/>
    <col min="14" max="14" width="21" customWidth="1"/>
    <col min="15" max="15" width="18.125" customWidth="1"/>
    <col min="16" max="16" width="8.875" customWidth="1"/>
    <col min="17" max="17" width="79.125" customWidth="1"/>
    <col min="18" max="18" width="5.125" customWidth="1"/>
    <col min="19" max="19" width="3.75" customWidth="1"/>
    <col min="20" max="20" width="5.625" customWidth="1"/>
    <col min="21" max="21" width="7.875" customWidth="1"/>
    <col min="22" max="22" width="19.75" customWidth="1"/>
    <col min="23" max="23" width="22.5" customWidth="1"/>
    <col min="24" max="24" width="26.375" customWidth="1"/>
    <col min="25" max="25" width="21.375" customWidth="1"/>
    <col min="26" max="26" width="23.375" customWidth="1"/>
    <col min="27" max="27" width="20.125" customWidth="1"/>
    <col min="28" max="28" width="28.875" customWidth="1"/>
    <col min="29" max="29" width="5.375" customWidth="1"/>
    <col min="30" max="30" width="7.625" customWidth="1"/>
    <col min="31" max="31" width="33.75" customWidth="1"/>
    <col min="32" max="32" width="22.125" customWidth="1"/>
    <col min="33" max="33" width="29.875" customWidth="1"/>
    <col min="34" max="34" width="22.625" customWidth="1"/>
    <col min="35" max="35" width="24" customWidth="1"/>
    <col min="36" max="36" width="19" customWidth="1"/>
    <col min="37" max="37" width="13" customWidth="1"/>
  </cols>
  <sheetData>
    <row r="2" spans="2:39" ht="15.75" customHeight="1">
      <c r="B2" s="220" t="s">
        <v>52</v>
      </c>
    </row>
    <row r="4" spans="2:39" ht="21.75" customHeight="1">
      <c r="B4" s="319" t="s">
        <v>183</v>
      </c>
      <c r="C4" s="320"/>
      <c r="D4" s="320"/>
      <c r="E4" s="320"/>
      <c r="F4" s="320"/>
      <c r="G4" s="320"/>
      <c r="H4" s="320"/>
      <c r="I4" s="321"/>
      <c r="L4" s="319" t="s">
        <v>162</v>
      </c>
      <c r="M4" s="320"/>
      <c r="N4" s="320"/>
      <c r="O4" s="320"/>
      <c r="P4" s="320"/>
      <c r="Q4" s="320"/>
      <c r="R4" s="320"/>
      <c r="S4" s="321"/>
      <c r="V4" s="319" t="s">
        <v>184</v>
      </c>
      <c r="W4" s="320"/>
      <c r="X4" s="320"/>
      <c r="Y4" s="320"/>
      <c r="Z4" s="320"/>
      <c r="AA4" s="320"/>
      <c r="AB4" s="320"/>
      <c r="AC4" s="321"/>
      <c r="AE4" s="319" t="s">
        <v>185</v>
      </c>
      <c r="AF4" s="320"/>
      <c r="AG4" s="320"/>
      <c r="AH4" s="320"/>
      <c r="AI4" s="320"/>
      <c r="AJ4" s="320"/>
      <c r="AK4" s="320"/>
      <c r="AL4" s="321"/>
    </row>
    <row r="5" spans="2:39">
      <c r="L5" t="s">
        <v>186</v>
      </c>
      <c r="V5" t="s">
        <v>187</v>
      </c>
    </row>
    <row r="6" spans="2:39"/>
    <row r="7" spans="2:39" ht="21">
      <c r="B7" s="322" t="s">
        <v>188</v>
      </c>
      <c r="C7" s="323"/>
      <c r="D7" s="323"/>
      <c r="E7" s="323"/>
      <c r="F7" s="323"/>
      <c r="G7" s="323"/>
      <c r="H7" s="323"/>
      <c r="I7" s="324"/>
      <c r="L7" s="154" t="s">
        <v>189</v>
      </c>
      <c r="AE7" s="114" t="s">
        <v>190</v>
      </c>
      <c r="AF7" s="102" t="s">
        <v>138</v>
      </c>
      <c r="AG7" s="102" t="s">
        <v>139</v>
      </c>
      <c r="AH7" s="210" t="s">
        <v>140</v>
      </c>
      <c r="AI7" s="102" t="s">
        <v>166</v>
      </c>
      <c r="AJ7" s="102" t="s">
        <v>142</v>
      </c>
      <c r="AK7" s="212" t="s">
        <v>167</v>
      </c>
    </row>
    <row r="8" spans="2:39" ht="21">
      <c r="B8" s="146"/>
      <c r="L8" s="167" t="s">
        <v>191</v>
      </c>
      <c r="M8" s="156" t="s">
        <v>192</v>
      </c>
      <c r="N8" s="156" t="s">
        <v>193</v>
      </c>
      <c r="O8" s="188" t="s">
        <v>10</v>
      </c>
      <c r="V8" s="203" t="s">
        <v>194</v>
      </c>
      <c r="W8" s="166"/>
      <c r="X8" s="166"/>
      <c r="Y8" s="166"/>
      <c r="Z8" s="166"/>
      <c r="AE8" s="232" t="s">
        <v>53</v>
      </c>
      <c r="AF8" s="130">
        <f>$N$22*W32*VLOOKUP(AE8,'Monetization factors'!$C$6:$I$28, 7,FALSE)</f>
        <v>0.59933486315605511</v>
      </c>
      <c r="AG8" s="130">
        <f>$N$22*X32*VLOOKUP(AE8,'Monetization factors'!$C$6:$I$28, 7,FALSE)</f>
        <v>0.55040956820454034</v>
      </c>
      <c r="AH8" s="130">
        <f>$N$22*Y32*VLOOKUP(AE8,'Monetization factors'!$C$6:$I$28, 7,FALSE)</f>
        <v>0.60809765608615396</v>
      </c>
      <c r="AI8" s="130">
        <f>$O$22*Z32*VLOOKUP(AE8,'Monetization factors'!$C$6:$I$28, 7,FALSE)</f>
        <v>3.7516586071594513E-2</v>
      </c>
      <c r="AJ8" s="130">
        <f>$O$22*AA32*VLOOKUP(AE8,'Monetization factors'!$C$6:$I$28, 7,FALSE)</f>
        <v>6.0929663921617618E-2</v>
      </c>
      <c r="AK8" s="235" t="s">
        <v>169</v>
      </c>
    </row>
    <row r="9" spans="2:39" ht="15.95" customHeight="1">
      <c r="B9" s="39" t="s">
        <v>195</v>
      </c>
      <c r="L9" s="311" t="s">
        <v>196</v>
      </c>
      <c r="M9" s="130" t="s">
        <v>197</v>
      </c>
      <c r="N9" s="130">
        <f>D11+D12/(14-9+1)*(11-9+1)</f>
        <v>14200</v>
      </c>
      <c r="O9" s="187" t="s">
        <v>198</v>
      </c>
      <c r="V9" s="37" t="s">
        <v>199</v>
      </c>
      <c r="W9" s="37"/>
      <c r="AC9" s="89"/>
      <c r="AE9" s="233" t="s">
        <v>200</v>
      </c>
      <c r="AF9" s="81">
        <f>$N$23*W32*VLOOKUP("Statutory nominal gross wage gap",'Monetization factors'!$C$6:$I$28, 7,FALSE)</f>
        <v>0.10541531326399861</v>
      </c>
      <c r="AG9" s="81">
        <f>$N$23*X32*VLOOKUP("Statutory nominal gross wage gap",'Monetization factors'!$C$6:$I$28, 7,FALSE)</f>
        <v>9.680998156897834E-2</v>
      </c>
      <c r="AH9" s="81">
        <f>$N$23*Y32*VLOOKUP("Statutory nominal gross wage gap",'Monetization factors'!$C$6:$I$28, 7,FALSE)</f>
        <v>0.10695657611817269</v>
      </c>
      <c r="AI9" s="81">
        <f>$O$23*Z32*VLOOKUP("Statutory nominal gross wage gap",'Monetization factors'!$C$6:$I$28, 7,FALSE)</f>
        <v>0</v>
      </c>
      <c r="AJ9" s="81">
        <f>$O$23*AA32*VLOOKUP("Statutory nominal gross wage gap",'Monetization factors'!$C$6:$I$28, 7,FALSE)</f>
        <v>0</v>
      </c>
      <c r="AK9" s="236" t="s">
        <v>169</v>
      </c>
    </row>
    <row r="10" spans="2:39" ht="15.95" customHeight="1">
      <c r="B10" s="167" t="s">
        <v>191</v>
      </c>
      <c r="C10" s="156" t="s">
        <v>192</v>
      </c>
      <c r="D10" s="156" t="s">
        <v>193</v>
      </c>
      <c r="E10" s="139" t="s">
        <v>10</v>
      </c>
      <c r="F10" s="139" t="s">
        <v>101</v>
      </c>
      <c r="G10" s="156" t="s">
        <v>201</v>
      </c>
      <c r="H10" s="156" t="s">
        <v>202</v>
      </c>
      <c r="I10" s="157" t="s">
        <v>203</v>
      </c>
      <c r="L10" s="355"/>
      <c r="M10" t="s">
        <v>204</v>
      </c>
      <c r="N10">
        <f>D12/(14-9+1)*(14-12+1)</f>
        <v>10900</v>
      </c>
      <c r="O10" s="189" t="s">
        <v>198</v>
      </c>
      <c r="V10" s="39" t="s">
        <v>205</v>
      </c>
      <c r="W10" s="39"/>
      <c r="AE10" s="234" t="s">
        <v>65</v>
      </c>
      <c r="AF10">
        <f>N24/100*W33*VLOOKUP(AE10,'Monetization factors'!$C$6:$I$28, 7,FALSE)</f>
        <v>0</v>
      </c>
      <c r="AG10">
        <f>N24/100*X33*VLOOKUP($AE10,'Monetization factors'!$C$6:$I$28, 7,FALSE)</f>
        <v>0</v>
      </c>
      <c r="AH10">
        <f>N24/100*Y33*VLOOKUP($AE10,'Monetization factors'!$C$6:$I$28, 7,FALSE)</f>
        <v>0</v>
      </c>
      <c r="AI10">
        <f>$O$24/100*Z33*VLOOKUP($AE10,'Monetization factors'!$C$6:$I$28, 7,FALSE)</f>
        <v>2.8116039357234147E-3</v>
      </c>
      <c r="AJ10">
        <f>$O$24/100*AA33*VLOOKUP($AE10,'Monetization factors'!$C$6:$I$28, 7,FALSE)</f>
        <v>4.5662492465974019E-3</v>
      </c>
      <c r="AK10" s="237" t="s">
        <v>169</v>
      </c>
      <c r="AL10" s="89"/>
      <c r="AM10" s="89"/>
    </row>
    <row r="11" spans="2:39" ht="15.95" customHeight="1">
      <c r="B11" s="311" t="s">
        <v>206</v>
      </c>
      <c r="C11" s="130" t="s">
        <v>207</v>
      </c>
      <c r="D11" s="130">
        <v>3300</v>
      </c>
      <c r="E11" s="151" t="s">
        <v>198</v>
      </c>
      <c r="F11" s="151">
        <v>2024</v>
      </c>
      <c r="G11" s="331" t="s">
        <v>208</v>
      </c>
      <c r="H11" s="325" t="s">
        <v>209</v>
      </c>
      <c r="I11" s="327" t="s">
        <v>210</v>
      </c>
      <c r="L11" s="311" t="s">
        <v>211</v>
      </c>
      <c r="M11" s="130" t="s">
        <v>197</v>
      </c>
      <c r="N11" s="130">
        <f>D13+D18/(14-9+1)*(11-9+1)</f>
        <v>2725</v>
      </c>
      <c r="O11" s="187" t="s">
        <v>198</v>
      </c>
      <c r="R11" s="37"/>
      <c r="V11" s="77" t="s">
        <v>212</v>
      </c>
      <c r="W11" s="129" t="s">
        <v>213</v>
      </c>
      <c r="X11" s="142" t="s">
        <v>214</v>
      </c>
      <c r="AE11" s="234" t="s">
        <v>59</v>
      </c>
      <c r="AF11">
        <f>$N$25/100*W$33*VLOOKUP(AE11,'Monetization factors'!$C$6:$I$28, 7,FALSE)</f>
        <v>0</v>
      </c>
      <c r="AG11">
        <f>$N$25/100*X$33*VLOOKUP($AE$11,'Monetization factors'!$C$6:$I$28, 7,FALSE)</f>
        <v>0</v>
      </c>
      <c r="AH11">
        <f>$N$25/100*Y$33*VLOOKUP($AE$11,'Monetization factors'!$C$6:$I$28, 7,FALSE)</f>
        <v>0</v>
      </c>
      <c r="AI11">
        <f>$O$25/100*Z$33*VLOOKUP($AE$11,'Monetization factors'!$C$6:$I$28, 7,FALSE)</f>
        <v>2.337277441862959E-3</v>
      </c>
      <c r="AJ11">
        <f>$O$25/100*AA$33*VLOOKUP($AE$11,'Monetization factors'!$C$6:$I$28, 7,FALSE)</f>
        <v>3.7959085283645485E-3</v>
      </c>
      <c r="AK11" s="237" t="s">
        <v>169</v>
      </c>
    </row>
    <row r="12" spans="2:39" ht="15.95" customHeight="1">
      <c r="B12" s="312"/>
      <c r="C12" s="81" t="s">
        <v>215</v>
      </c>
      <c r="D12" s="81">
        <v>21800</v>
      </c>
      <c r="E12" s="109" t="s">
        <v>198</v>
      </c>
      <c r="F12" s="109">
        <v>2024</v>
      </c>
      <c r="G12" s="332"/>
      <c r="H12" s="326"/>
      <c r="I12" s="328"/>
      <c r="L12" s="312"/>
      <c r="M12" s="81" t="s">
        <v>204</v>
      </c>
      <c r="N12" s="81">
        <f>D18/(14-9+1)*(14-12+1)</f>
        <v>2725</v>
      </c>
      <c r="O12" s="204" t="s">
        <v>198</v>
      </c>
      <c r="R12" s="37"/>
      <c r="V12" s="121"/>
      <c r="W12" s="145" t="s">
        <v>216</v>
      </c>
      <c r="X12" s="143" t="s">
        <v>217</v>
      </c>
      <c r="AE12" s="234" t="s">
        <v>64</v>
      </c>
      <c r="AF12">
        <f>$N$26/100*W$33*VLOOKUP(AE12,'Monetization factors'!$C$6:$I$28, 7,FALSE)</f>
        <v>0</v>
      </c>
      <c r="AG12">
        <f>$N$26/100*X$33*VLOOKUP($AE$12,'Monetization factors'!$C$6:$I$28, 7,FALSE)</f>
        <v>0</v>
      </c>
      <c r="AH12">
        <f>$N$26/100*Y$33*VLOOKUP($AE$12,'Monetization factors'!$C$6:$I$28, 7,FALSE)</f>
        <v>0</v>
      </c>
      <c r="AI12">
        <f>$O$26/100*Z$33*VLOOKUP($AE$11,'Monetization factors'!$C$6:$I$28, 7,FALSE)</f>
        <v>1.6651192232879906E-3</v>
      </c>
      <c r="AJ12">
        <f>$O$26/100*AA$33*VLOOKUP($AE$11,'Monetization factors'!$C$6:$I$28, 7,FALSE)</f>
        <v>2.7042747032139597E-3</v>
      </c>
      <c r="AK12" s="237" t="s">
        <v>169</v>
      </c>
    </row>
    <row r="13" spans="2:39">
      <c r="B13" s="336" t="s">
        <v>218</v>
      </c>
      <c r="C13" t="s">
        <v>207</v>
      </c>
      <c r="D13">
        <v>0</v>
      </c>
      <c r="E13" s="104" t="s">
        <v>198</v>
      </c>
      <c r="F13" s="104">
        <v>2024</v>
      </c>
      <c r="G13" s="333" t="s">
        <v>208</v>
      </c>
      <c r="H13" s="334" t="s">
        <v>219</v>
      </c>
      <c r="I13" s="335" t="s">
        <v>210</v>
      </c>
      <c r="R13" s="37"/>
      <c r="V13" s="77" t="s">
        <v>220</v>
      </c>
      <c r="W13" s="66">
        <f>(C129*C118/SUM(C114:C118)+C130*C117/SUM(C114:C118)+C131*C116/SUM(C114:C118)+C132*C115/SUM(C114:C118)+C133*C114/SUM(C114:C118))*(52-AVERAGE(D129:D133))</f>
        <v>2550.788330828228</v>
      </c>
      <c r="X13" s="111">
        <f>AVERAGE(D129:D133)</f>
        <v>4</v>
      </c>
      <c r="AE13" s="232" t="s">
        <v>66</v>
      </c>
      <c r="AF13" s="130">
        <f>$N$27/100*W$33*VLOOKUP($AE$13,'Monetization factors'!$C$6:$I$28, 7,FALSE)</f>
        <v>6.5359994861270585E-3</v>
      </c>
      <c r="AG13" s="130">
        <f>$N$27/100*X$33*VLOOKUP($AE$13,'Monetization factors'!$C$6:$I$28, 7,FALSE)</f>
        <v>6.0024485076677079E-3</v>
      </c>
      <c r="AH13" s="130">
        <f>$N$27/100*Y$33*VLOOKUP($AE$13,'Monetization factors'!$C$6:$I$28, 7,FALSE)</f>
        <v>6.6315614392338171E-3</v>
      </c>
      <c r="AI13" s="130">
        <f>$O$27/100*Z$33*VLOOKUP($AE$13,'Monetization factors'!$C$6:$I$28, 7,FALSE)</f>
        <v>1.3780746347249241E-2</v>
      </c>
      <c r="AJ13" s="130">
        <f>$O$27/100*AA$33*VLOOKUP($AE$13,'Monetization factors'!$C$6:$I$28, 7,FALSE)</f>
        <v>2.2380934180007844E-2</v>
      </c>
      <c r="AK13" s="235" t="s">
        <v>169</v>
      </c>
    </row>
    <row r="14" spans="2:39">
      <c r="B14" s="336"/>
      <c r="E14" s="104"/>
      <c r="G14" s="333"/>
      <c r="H14" s="334"/>
      <c r="I14" s="335"/>
      <c r="L14" s="154" t="s">
        <v>221</v>
      </c>
      <c r="R14" s="39"/>
      <c r="V14" s="144" t="s">
        <v>222</v>
      </c>
      <c r="W14" s="68">
        <f>C144*(52-C146/7)</f>
        <v>2358.8571428571431</v>
      </c>
      <c r="X14" s="82">
        <f>C146/7</f>
        <v>2.8571428571428572</v>
      </c>
      <c r="AE14" s="234" t="s">
        <v>71</v>
      </c>
      <c r="AF14">
        <f>$N$28/100*W$33*VLOOKUP($AE$14,'Monetization factors'!$C$6:$I$28, 7,FALSE)</f>
        <v>1.3647527521213587E-5</v>
      </c>
      <c r="AG14">
        <f>$N$28/100*X$33*VLOOKUP($AE$14,'Monetization factors'!$C$6:$I$28, 7,FALSE)</f>
        <v>1.2533443641930846E-5</v>
      </c>
      <c r="AH14">
        <f>$N$28/100*Y$33*VLOOKUP($AE$14,'Monetization factors'!$C$6:$I$28, 7,FALSE)</f>
        <v>1.3847066151498611E-5</v>
      </c>
      <c r="AI14">
        <f>$O$28/100*Z$33*VLOOKUP($AE$14,'Monetization factors'!$C$6:$I$28, 7,FALSE)</f>
        <v>2.613552167738282E-5</v>
      </c>
      <c r="AJ14">
        <f>$O$28/100*AA$33*VLOOKUP($AE$14,'Monetization factors'!$C$6:$I$28, 7,FALSE)</f>
        <v>4.2445987734070131E-5</v>
      </c>
      <c r="AK14" s="237" t="s">
        <v>169</v>
      </c>
    </row>
    <row r="15" spans="2:39">
      <c r="B15" s="336"/>
      <c r="E15" s="104"/>
      <c r="G15" s="333"/>
      <c r="H15" s="334"/>
      <c r="I15" s="335"/>
      <c r="L15" s="118" t="s">
        <v>191</v>
      </c>
      <c r="M15" s="149" t="s">
        <v>212</v>
      </c>
      <c r="N15" s="149" t="s">
        <v>223</v>
      </c>
      <c r="O15" s="126" t="s">
        <v>10</v>
      </c>
      <c r="R15" s="37"/>
      <c r="AE15" s="214" t="s">
        <v>70</v>
      </c>
      <c r="AF15" s="81">
        <f>$N$29*W$33*VLOOKUP($AE$15,'Monetization factors'!$C$6:$I$28, 7,FALSE)</f>
        <v>1.1626729715511222E-4</v>
      </c>
      <c r="AG15" s="81">
        <f>$N$29*X$33*VLOOKUP($AE$15,'Monetization factors'!$C$6:$I$28, 7,FALSE)</f>
        <v>1.0677608922408265E-4</v>
      </c>
      <c r="AH15" s="81">
        <f>$N$29*Y$33*VLOOKUP($AE$15,'Monetization factors'!$C$6:$I$28, 7,FALSE)</f>
        <v>1.1796722537912284E-4</v>
      </c>
      <c r="AI15" s="81">
        <f>$O$29*Z$33*VLOOKUP($AE$15,'Monetization factors'!$C$6:$I$28, 7,FALSE)</f>
        <v>3.6231036648014917E-5</v>
      </c>
      <c r="AJ15" s="81">
        <f>$O$29*AA$33*VLOOKUP($AE$15,'Monetization factors'!$C$6:$I$28, 7,FALSE)</f>
        <v>5.8841838174790399E-5</v>
      </c>
      <c r="AK15" s="236" t="s">
        <v>169</v>
      </c>
    </row>
    <row r="16" spans="2:39">
      <c r="B16" s="336"/>
      <c r="E16" s="104"/>
      <c r="G16" s="333"/>
      <c r="H16" s="334"/>
      <c r="I16" s="335"/>
      <c r="L16" s="329" t="s">
        <v>224</v>
      </c>
      <c r="M16" s="81" t="s">
        <v>222</v>
      </c>
      <c r="N16" s="81">
        <f>D61*D51*(52-X14)</f>
        <v>308899714.28571433</v>
      </c>
      <c r="O16" s="204" t="s">
        <v>225</v>
      </c>
      <c r="R16" s="37"/>
      <c r="AE16" s="234" t="s">
        <v>72</v>
      </c>
      <c r="AF16">
        <f>$N$30*W$34*VLOOKUP($AE$16,'Monetization factors'!$C$6:$I$28, 7,FALSE)</f>
        <v>2.4868882824526715E-3</v>
      </c>
      <c r="AG16">
        <f>$N$30*X$34*VLOOKUP($AE$16,'Monetization factors'!$C$6:$I$28, 7,FALSE)</f>
        <v>2.2838769940891888E-3</v>
      </c>
      <c r="AH16">
        <f>$N$30*Y$34*VLOOKUP($AE$16,'Monetization factors'!$C$6:$I$28, 7,FALSE)</f>
        <v>2.5232487353465121E-3</v>
      </c>
      <c r="AI16">
        <f>$O$30*Z$34*VLOOKUP($AE$16,'Monetization factors'!$C$6:$I$28, 7,FALSE)</f>
        <v>2.5577440285949436E-4</v>
      </c>
      <c r="AJ16">
        <f>$O$30*AA$34*VLOOKUP($AE$16,'Monetization factors'!$C$6:$I$28, 7,FALSE)</f>
        <v>4.1539622971667337E-4</v>
      </c>
      <c r="AK16" s="237" t="s">
        <v>169</v>
      </c>
    </row>
    <row r="17" spans="2:37" ht="18.75">
      <c r="B17" s="336"/>
      <c r="E17" s="104"/>
      <c r="G17" s="333"/>
      <c r="H17" s="334"/>
      <c r="I17" s="335"/>
      <c r="L17" s="330"/>
      <c r="M17" s="81" t="s">
        <v>220</v>
      </c>
      <c r="N17" s="81">
        <f>D59*D50*(52-X13)</f>
        <v>225212160</v>
      </c>
      <c r="O17" s="190" t="s">
        <v>225</v>
      </c>
      <c r="R17" s="37"/>
      <c r="V17" s="203" t="s">
        <v>226</v>
      </c>
      <c r="W17" s="37"/>
      <c r="AE17" s="234" t="s">
        <v>76</v>
      </c>
      <c r="AF17">
        <f>$N$31*W$34*VLOOKUP($AE$17,'Monetization factors'!$C$6:$I$28, 7,FALSE)</f>
        <v>2.0870512867964431E-4</v>
      </c>
      <c r="AG17">
        <f>$N$31*X$34*VLOOKUP($AE$17,'Monetization factors'!$C$6:$I$28, 7,FALSE)</f>
        <v>1.9166797531804071E-4</v>
      </c>
      <c r="AH17">
        <f>$N$31*Y$34*VLOOKUP($AE$17,'Monetization factors'!$C$6:$I$28, 7,FALSE)</f>
        <v>2.1175657777512796E-4</v>
      </c>
      <c r="AI17">
        <f>$O$31*Z$34*VLOOKUP($AE$17,'Monetization factors'!$C$6:$I$28, 7,FALSE)</f>
        <v>1.1345864924687621E-4</v>
      </c>
      <c r="AJ17">
        <f>$O$31*AA$34*VLOOKUP($AE$17,'Monetization factors'!$C$6:$I$28, 7,FALSE)</f>
        <v>1.8426509689395756E-4</v>
      </c>
      <c r="AK17" s="237" t="s">
        <v>169</v>
      </c>
    </row>
    <row r="18" spans="2:37">
      <c r="B18" s="336"/>
      <c r="C18" t="s">
        <v>215</v>
      </c>
      <c r="D18">
        <v>5450</v>
      </c>
      <c r="E18" s="104" t="s">
        <v>198</v>
      </c>
      <c r="F18" s="104">
        <v>2024</v>
      </c>
      <c r="G18" s="333"/>
      <c r="H18" s="334"/>
      <c r="I18" s="335"/>
      <c r="L18" s="89"/>
      <c r="O18" s="104"/>
      <c r="R18" s="37"/>
      <c r="V18" s="37" t="s">
        <v>227</v>
      </c>
      <c r="W18" s="37"/>
      <c r="X18" s="89"/>
      <c r="AE18" s="233" t="s">
        <v>77</v>
      </c>
      <c r="AF18" s="81">
        <f>$N$32*W$34*VLOOKUP($AE$18,'Monetization factors'!$C$6:$I$28, 7,FALSE)</f>
        <v>3.9861100318980382E-3</v>
      </c>
      <c r="AG18" s="81">
        <f>$N$32*X$34*VLOOKUP($AE$18,'Monetization factors'!$C$6:$I$28, 7,FALSE)</f>
        <v>3.6607132946002391E-3</v>
      </c>
      <c r="AH18" s="81">
        <f>$N$32*Y$34*VLOOKUP($AE$18,'Monetization factors'!$C$6:$I$28, 7,FALSE)</f>
        <v>4.044390400609073E-3</v>
      </c>
      <c r="AI18" s="81">
        <f>$O$32*Z$34*VLOOKUP($AE$18,'Monetization factors'!$C$6:$I$28, 7,FALSE)</f>
        <v>1.8153192231173793E-3</v>
      </c>
      <c r="AJ18" s="81">
        <f>$O$32*AA$34*VLOOKUP($AE$18,'Monetization factors'!$C$6:$I$28, 7,FALSE)</f>
        <v>2.9482104252214797E-3</v>
      </c>
      <c r="AK18" s="236" t="s">
        <v>169</v>
      </c>
    </row>
    <row r="19" spans="2:37">
      <c r="B19" s="169" t="s">
        <v>228</v>
      </c>
      <c r="C19" s="130" t="s">
        <v>229</v>
      </c>
      <c r="D19" s="130">
        <v>28.4</v>
      </c>
      <c r="E19" s="151" t="s">
        <v>230</v>
      </c>
      <c r="F19" s="151">
        <v>2016</v>
      </c>
      <c r="G19" s="170" t="s">
        <v>231</v>
      </c>
      <c r="H19" s="147" t="s">
        <v>232</v>
      </c>
      <c r="I19" s="162" t="s">
        <v>233</v>
      </c>
      <c r="L19" s="89"/>
      <c r="O19" s="104"/>
      <c r="R19" s="37"/>
      <c r="V19" s="39" t="s">
        <v>234</v>
      </c>
      <c r="W19" s="37"/>
      <c r="AE19" s="214" t="s">
        <v>235</v>
      </c>
      <c r="AF19" s="179">
        <f>SUM(AF8:AF18)</f>
        <v>0.71809779417388742</v>
      </c>
      <c r="AG19" s="179">
        <f t="shared" ref="AG19:AJ19" si="0">SUM(AG8:AG18)</f>
        <v>0.65947756607805985</v>
      </c>
      <c r="AH19" s="179">
        <f t="shared" si="0"/>
        <v>0.72859700364882185</v>
      </c>
      <c r="AI19" s="179">
        <f t="shared" si="0"/>
        <v>6.0358251853267271E-2</v>
      </c>
      <c r="AJ19" s="179">
        <f t="shared" si="0"/>
        <v>9.8026190157542326E-2</v>
      </c>
      <c r="AK19" s="238" t="s">
        <v>169</v>
      </c>
    </row>
    <row r="20" spans="2:37">
      <c r="B20" s="311" t="s">
        <v>236</v>
      </c>
      <c r="C20" s="130" t="s">
        <v>237</v>
      </c>
      <c r="D20" s="130">
        <v>99.8</v>
      </c>
      <c r="E20" s="151" t="s">
        <v>230</v>
      </c>
      <c r="F20" s="151">
        <v>2024</v>
      </c>
      <c r="G20" s="331" t="s">
        <v>238</v>
      </c>
      <c r="H20" s="325" t="s">
        <v>239</v>
      </c>
      <c r="I20" s="327" t="s">
        <v>210</v>
      </c>
      <c r="R20" s="37"/>
      <c r="V20" s="77" t="s">
        <v>212</v>
      </c>
      <c r="W20" s="78" t="s">
        <v>240</v>
      </c>
      <c r="X20" s="94" t="s">
        <v>241</v>
      </c>
      <c r="Y20" s="112" t="s">
        <v>242</v>
      </c>
    </row>
    <row r="21" spans="2:37">
      <c r="B21" s="312"/>
      <c r="C21" s="81" t="s">
        <v>243</v>
      </c>
      <c r="D21" s="81">
        <v>87.6</v>
      </c>
      <c r="E21" s="109" t="s">
        <v>230</v>
      </c>
      <c r="F21" s="109">
        <v>2024</v>
      </c>
      <c r="G21" s="332"/>
      <c r="H21" s="326"/>
      <c r="I21" s="328"/>
      <c r="L21" s="191" t="s">
        <v>2</v>
      </c>
      <c r="M21" s="192" t="s">
        <v>190</v>
      </c>
      <c r="N21" s="192" t="s">
        <v>244</v>
      </c>
      <c r="O21" s="192" t="s">
        <v>245</v>
      </c>
      <c r="P21" s="192" t="s">
        <v>10</v>
      </c>
      <c r="Q21" s="193" t="s">
        <v>246</v>
      </c>
      <c r="R21" s="37"/>
      <c r="V21" s="184" t="s">
        <v>220</v>
      </c>
      <c r="W21" s="59" t="s">
        <v>247</v>
      </c>
      <c r="X21" s="121">
        <f>C161*AVERAGE($C$177:$C$178)+C163*C183*AVERAGE($C177,$C$178)</f>
        <v>15.19</v>
      </c>
      <c r="Y21" s="120">
        <f>X21*('Production Systems Parameters'!D6+'Production Systems Parameters'!E6)/12/('Production Systems Parameters'!C6*'Production Systems Parameters'!C21/100)</f>
        <v>9.4996873045653546E-2</v>
      </c>
    </row>
    <row r="22" spans="2:37">
      <c r="B22" s="168" t="s">
        <v>248</v>
      </c>
      <c r="C22" s="81" t="s">
        <v>249</v>
      </c>
      <c r="D22" s="81">
        <v>21.9</v>
      </c>
      <c r="E22" s="109" t="s">
        <v>250</v>
      </c>
      <c r="F22" s="109">
        <v>2009</v>
      </c>
      <c r="G22" s="171" t="s">
        <v>251</v>
      </c>
      <c r="H22" s="148" t="s">
        <v>252</v>
      </c>
      <c r="I22" s="163" t="s">
        <v>210</v>
      </c>
      <c r="L22" s="194" t="s">
        <v>253</v>
      </c>
      <c r="M22" s="89" t="s">
        <v>53</v>
      </c>
      <c r="N22" s="127">
        <f>ABS(D42-D46)*'Monetization factors'!D45</f>
        <v>1230.3449999999998</v>
      </c>
      <c r="O22" s="127">
        <f>ABS(D43-D47)*'Monetization factors'!D45</f>
        <v>146.10999999999996</v>
      </c>
      <c r="P22" t="s">
        <v>54</v>
      </c>
      <c r="Q22" s="195" t="s">
        <v>254</v>
      </c>
      <c r="R22" s="37"/>
      <c r="V22" s="113"/>
      <c r="W22" s="37" t="s">
        <v>255</v>
      </c>
      <c r="X22" s="121">
        <f>D161*AVERAGE($C$177:$C$178)+(D163+D165)*$C$183*AVERAGE($C178,$C$178)</f>
        <v>12.4</v>
      </c>
      <c r="Y22" s="86">
        <f>X22*('Production Systems Parameters'!D7+'Production Systems Parameters'!E7)/12/('Production Systems Parameters'!C7*'Production Systems Parameters'!C21/100)</f>
        <v>8.7242026266416528E-2</v>
      </c>
      <c r="AE22" s="89"/>
    </row>
    <row r="23" spans="2:37" ht="30.75">
      <c r="B23" s="90" t="s">
        <v>92</v>
      </c>
      <c r="L23" s="194"/>
      <c r="M23" s="89" t="s">
        <v>200</v>
      </c>
      <c r="N23" s="127">
        <f>ABS(D42-D44)*D62/D59*'Monetization factors'!D45</f>
        <v>148.35098859315588</v>
      </c>
      <c r="O23" s="127">
        <f>(IF(D43&gt;D45,0,ABS(D45-D43)*D63/D61)+ IF(D47&gt;D45,0,ABS(D47-D45)*(1-D63/D61)))*'Monetization factors'!D45</f>
        <v>0</v>
      </c>
      <c r="P23" t="s">
        <v>54</v>
      </c>
      <c r="Q23" s="195" t="s">
        <v>256</v>
      </c>
      <c r="R23" s="37"/>
      <c r="V23" s="185"/>
      <c r="W23" s="37" t="s">
        <v>257</v>
      </c>
      <c r="X23" s="121">
        <f>E161*AVERAGE($C$177:$C$178)+(E163+E165)*$C$183*AVERAGE(C177,C178)</f>
        <v>11.34</v>
      </c>
      <c r="Y23" s="87">
        <f>X23*('Production Systems Parameters'!D8+'Production Systems Parameters'!E8)/12/('Production Systems Parameters'!C8*'Production Systems Parameters'!C21/100)</f>
        <v>9.6385809312638585E-2</v>
      </c>
    </row>
    <row r="24" spans="2:37">
      <c r="B24" s="153" t="s">
        <v>258</v>
      </c>
      <c r="L24" s="196" t="s">
        <v>154</v>
      </c>
      <c r="M24" s="156" t="s">
        <v>65</v>
      </c>
      <c r="N24" s="147">
        <v>0</v>
      </c>
      <c r="O24" s="147">
        <f>SUM(D13:D18)*D19*D22*52/N16</f>
        <v>0.5706171156797073</v>
      </c>
      <c r="P24" s="130" t="s">
        <v>259</v>
      </c>
      <c r="Q24" s="197" t="s">
        <v>260</v>
      </c>
      <c r="R24" s="37"/>
      <c r="V24" s="184" t="s">
        <v>222</v>
      </c>
      <c r="W24" s="66" t="s">
        <v>261</v>
      </c>
      <c r="X24" s="111">
        <f>C192/C191*'Production Systems Parameters'!D9/('Production Systems Parameters'!D9+'Production Systems Parameters'!E9)+D192/D191*'Production Systems Parameters'!E9/('Production Systems Parameters'!E9+'Production Systems Parameters'!D9)</f>
        <v>5.0022559757010825</v>
      </c>
      <c r="Y24" s="80">
        <f>C192/C191*'Production Systems Parameters'!D9/12/('Production Systems Parameters'!C9*'Production Systems Parameters'!C21/100)+D192/D191*'Production Systems Parameters'!E9/12/('Production Systems Parameters'!C9*'Production Systems Parameters'!C21/100)</f>
        <v>4.6305999936056066E-2</v>
      </c>
    </row>
    <row r="25" spans="2:37">
      <c r="B25" s="164" t="s">
        <v>262</v>
      </c>
      <c r="L25" s="194"/>
      <c r="M25" s="89" t="s">
        <v>59</v>
      </c>
      <c r="N25" s="127">
        <v>0</v>
      </c>
      <c r="O25" s="127">
        <f>(N9-N11)*D19*D22*52/N16</f>
        <v>1.2014369545733288</v>
      </c>
      <c r="P25" t="s">
        <v>259</v>
      </c>
      <c r="Q25" s="195" t="s">
        <v>263</v>
      </c>
      <c r="R25" s="37"/>
      <c r="V25" s="185"/>
      <c r="W25" s="68" t="s">
        <v>257</v>
      </c>
      <c r="X25" s="82">
        <f>E192/E191</f>
        <v>6.1263157894736846</v>
      </c>
      <c r="Y25" s="82">
        <f>E192/E191*'Production Systems Parameters'!D10/12/('Production Systems Parameters'!C10*'Production Systems Parameters'!C21/100)</f>
        <v>7.5204311188500114E-2</v>
      </c>
    </row>
    <row r="26" spans="2:37">
      <c r="B26" s="76" t="s">
        <v>264</v>
      </c>
      <c r="L26" s="198"/>
      <c r="M26" s="179" t="s">
        <v>64</v>
      </c>
      <c r="N26" s="148">
        <v>0</v>
      </c>
      <c r="O26" s="148">
        <f>(N10-N12)*D19*D22*52/N16</f>
        <v>0.85592567351956106</v>
      </c>
      <c r="P26" s="81" t="s">
        <v>259</v>
      </c>
      <c r="Q26" s="199" t="s">
        <v>265</v>
      </c>
      <c r="R26" s="37"/>
    </row>
    <row r="27" spans="2:37">
      <c r="B27" s="164" t="s">
        <v>266</v>
      </c>
      <c r="L27" s="194" t="s">
        <v>155</v>
      </c>
      <c r="M27" s="89" t="s">
        <v>66</v>
      </c>
      <c r="N27" s="127">
        <f>D66</f>
        <v>7.5</v>
      </c>
      <c r="O27" s="127">
        <f>D67</f>
        <v>30</v>
      </c>
      <c r="P27" t="s">
        <v>259</v>
      </c>
      <c r="Q27" s="195" t="s">
        <v>267</v>
      </c>
      <c r="R27" s="37"/>
    </row>
    <row r="28" spans="2:37" ht="18.75">
      <c r="B28" s="76" t="s">
        <v>268</v>
      </c>
      <c r="L28" s="194"/>
      <c r="M28" s="89" t="s">
        <v>269</v>
      </c>
      <c r="N28" s="127">
        <f>(D62/D59*D66/100*D48/D38*D36/52)*100</f>
        <v>2.0821231955564425E-2</v>
      </c>
      <c r="O28" s="127">
        <f>D63/D61*D67*D49/D39*D37/52</f>
        <v>7.5645461804631359E-2</v>
      </c>
      <c r="P28" t="s">
        <v>259</v>
      </c>
      <c r="Q28" s="195" t="s">
        <v>270</v>
      </c>
      <c r="R28" s="37"/>
      <c r="V28" s="203" t="s">
        <v>271</v>
      </c>
    </row>
    <row r="29" spans="2:37">
      <c r="B29" s="164" t="s">
        <v>272</v>
      </c>
      <c r="L29" s="198"/>
      <c r="M29" s="179" t="s">
        <v>273</v>
      </c>
      <c r="N29" s="148">
        <f>D36*D52*D40*N28/100*'Monetization factors'!D45</f>
        <v>2.8641528436711559</v>
      </c>
      <c r="O29" s="148">
        <f>O28/100*'Monetization factors'!D45*D37*D53*D41</f>
        <v>1.6932404524886877</v>
      </c>
      <c r="P29" s="81" t="s">
        <v>54</v>
      </c>
      <c r="Q29" s="199" t="s">
        <v>274</v>
      </c>
      <c r="R29" s="37"/>
      <c r="V29" s="37" t="s">
        <v>275</v>
      </c>
    </row>
    <row r="30" spans="2:37">
      <c r="B30" s="153" t="s">
        <v>276</v>
      </c>
      <c r="L30" s="313" t="s">
        <v>157</v>
      </c>
      <c r="M30" s="89" t="s">
        <v>72</v>
      </c>
      <c r="N30" s="127">
        <f>D54*(1-D66/100)</f>
        <v>1589.15</v>
      </c>
      <c r="O30" s="127">
        <f>D55*(1-D67/100)</f>
        <v>459.9</v>
      </c>
      <c r="P30" t="s">
        <v>277</v>
      </c>
      <c r="Q30" s="195" t="s">
        <v>278</v>
      </c>
      <c r="R30" s="37"/>
    </row>
    <row r="31" spans="2:37">
      <c r="B31" s="164" t="s">
        <v>279</v>
      </c>
      <c r="L31" s="313"/>
      <c r="M31" s="89" t="s">
        <v>76</v>
      </c>
      <c r="N31" s="127">
        <f>D54*D66/100</f>
        <v>128.85</v>
      </c>
      <c r="O31" s="127">
        <f>D55*D67/100</f>
        <v>197.1</v>
      </c>
      <c r="P31" t="s">
        <v>277</v>
      </c>
      <c r="Q31" s="195" t="s">
        <v>280</v>
      </c>
      <c r="R31" s="37"/>
      <c r="V31" s="226" t="s">
        <v>2</v>
      </c>
      <c r="W31" s="227" t="s">
        <v>138</v>
      </c>
      <c r="X31" s="227" t="s">
        <v>139</v>
      </c>
      <c r="Y31" s="228" t="s">
        <v>140</v>
      </c>
      <c r="Z31" s="227" t="s">
        <v>166</v>
      </c>
      <c r="AA31" s="227" t="s">
        <v>142</v>
      </c>
      <c r="AB31" s="229" t="s">
        <v>10</v>
      </c>
    </row>
    <row r="32" spans="2:37">
      <c r="L32" s="314"/>
      <c r="M32" s="200" t="s">
        <v>77</v>
      </c>
      <c r="N32" s="231">
        <f>D56</f>
        <v>3</v>
      </c>
      <c r="O32" s="231">
        <f>D57*D60/D64</f>
        <v>3.8443479855719263</v>
      </c>
      <c r="P32" s="201" t="s">
        <v>277</v>
      </c>
      <c r="Q32" s="202" t="s">
        <v>281</v>
      </c>
      <c r="R32" s="37"/>
      <c r="V32" s="186" t="s">
        <v>253</v>
      </c>
      <c r="W32" s="127">
        <f>Y21/($W$13/12)</f>
        <v>4.4690594776937155E-4</v>
      </c>
      <c r="X32" s="127">
        <f>Y22/($W$13/12)</f>
        <v>4.1042382958411677E-4</v>
      </c>
      <c r="Y32" s="127">
        <f>Y23/($W$13/12)</f>
        <v>4.5344009840914991E-4</v>
      </c>
      <c r="Z32" s="127">
        <f>Y24/($W$14/12)</f>
        <v>2.3556831362819217E-4</v>
      </c>
      <c r="AA32" s="127">
        <f>Y25/($W$14/12)</f>
        <v>3.8258007145312557E-4</v>
      </c>
      <c r="AB32" s="173" t="s">
        <v>282</v>
      </c>
    </row>
    <row r="33" spans="2:28" ht="30.75">
      <c r="L33" t="s">
        <v>283</v>
      </c>
      <c r="R33" s="37"/>
      <c r="V33" s="223" t="s">
        <v>284</v>
      </c>
      <c r="W33" s="230">
        <f>Y21/$W$13</f>
        <v>3.7242162314114298E-5</v>
      </c>
      <c r="X33" s="230">
        <f>Y22/$W$13</f>
        <v>3.42019857986764E-5</v>
      </c>
      <c r="Y33" s="230">
        <f>Y23/$W$13</f>
        <v>3.7786674867429159E-5</v>
      </c>
      <c r="Z33" s="230">
        <f>Y24/$W$14</f>
        <v>1.9630692802349347E-5</v>
      </c>
      <c r="AA33" s="230">
        <f>Y25/$W$14</f>
        <v>3.1881672621093793E-5</v>
      </c>
      <c r="AB33" s="224" t="s">
        <v>285</v>
      </c>
    </row>
    <row r="34" spans="2:28" ht="61.5">
      <c r="B34" s="292" t="s">
        <v>286</v>
      </c>
      <c r="R34" s="37"/>
      <c r="V34" s="205" t="s">
        <v>157</v>
      </c>
      <c r="W34" s="148">
        <f>Y21/$N$17</f>
        <v>4.2181058538603577E-10</v>
      </c>
      <c r="X34" s="148">
        <f>Y22/$N$17</f>
        <v>3.8737706821166554E-10</v>
      </c>
      <c r="Y34" s="148">
        <f>Y23/$N$17</f>
        <v>4.2797782017027225E-10</v>
      </c>
      <c r="Z34" s="148">
        <f>Y24/$N$16</f>
        <v>1.4990625693238973E-10</v>
      </c>
      <c r="AA34" s="148">
        <f>Y25/$N$16</f>
        <v>2.434586621823175E-10</v>
      </c>
      <c r="AB34" s="206" t="s">
        <v>287</v>
      </c>
    </row>
    <row r="35" spans="2:28">
      <c r="B35" s="115" t="s">
        <v>191</v>
      </c>
      <c r="C35" s="156" t="s">
        <v>212</v>
      </c>
      <c r="D35" s="156" t="s">
        <v>193</v>
      </c>
      <c r="E35" s="156" t="s">
        <v>10</v>
      </c>
      <c r="F35" s="139" t="s">
        <v>101</v>
      </c>
      <c r="G35" s="156" t="s">
        <v>201</v>
      </c>
      <c r="H35" s="115" t="s">
        <v>202</v>
      </c>
      <c r="I35" s="159" t="s">
        <v>203</v>
      </c>
      <c r="R35" s="37"/>
      <c r="S35" s="37"/>
      <c r="T35" s="75"/>
    </row>
    <row r="36" spans="2:28">
      <c r="B36" s="351" t="s">
        <v>288</v>
      </c>
      <c r="C36" s="130" t="s">
        <v>220</v>
      </c>
      <c r="D36" s="130">
        <v>14</v>
      </c>
      <c r="E36" s="147" t="s">
        <v>289</v>
      </c>
      <c r="F36" s="147">
        <v>2000</v>
      </c>
      <c r="G36" s="345" t="s">
        <v>290</v>
      </c>
      <c r="H36" s="130"/>
      <c r="I36" s="337" t="s">
        <v>291</v>
      </c>
      <c r="R36" s="37"/>
      <c r="S36" s="37"/>
      <c r="T36" s="37"/>
    </row>
    <row r="37" spans="2:28">
      <c r="B37" s="352"/>
      <c r="C37" s="81" t="s">
        <v>222</v>
      </c>
      <c r="D37" s="81">
        <v>14</v>
      </c>
      <c r="E37" s="148" t="s">
        <v>289</v>
      </c>
      <c r="F37" s="148">
        <v>2000</v>
      </c>
      <c r="G37" s="346"/>
      <c r="H37" s="81"/>
      <c r="I37" s="338"/>
      <c r="R37" s="37"/>
      <c r="S37" s="37"/>
      <c r="T37" s="37"/>
    </row>
    <row r="38" spans="2:28">
      <c r="B38" s="353" t="s">
        <v>292</v>
      </c>
      <c r="C38" t="s">
        <v>220</v>
      </c>
      <c r="D38">
        <v>42.8</v>
      </c>
      <c r="E38" s="127" t="s">
        <v>293</v>
      </c>
      <c r="F38" s="127">
        <v>2024</v>
      </c>
      <c r="G38" s="181" t="s">
        <v>294</v>
      </c>
      <c r="H38" s="34" t="s">
        <v>295</v>
      </c>
      <c r="I38" s="316" t="s">
        <v>210</v>
      </c>
      <c r="R38" s="37"/>
      <c r="S38" s="37"/>
      <c r="T38" s="37"/>
    </row>
    <row r="39" spans="2:28" ht="15.75" customHeight="1">
      <c r="B39" s="352"/>
      <c r="C39" s="81" t="s">
        <v>222</v>
      </c>
      <c r="D39" s="81">
        <f>60-15</f>
        <v>45</v>
      </c>
      <c r="E39" s="148" t="s">
        <v>293</v>
      </c>
      <c r="F39" s="158" t="s">
        <v>291</v>
      </c>
      <c r="G39" s="160" t="s">
        <v>296</v>
      </c>
      <c r="H39" s="81"/>
      <c r="I39" s="339"/>
      <c r="R39" s="37"/>
      <c r="S39" s="37"/>
      <c r="T39" s="37"/>
    </row>
    <row r="40" spans="2:28">
      <c r="B40" s="353" t="s">
        <v>297</v>
      </c>
      <c r="C40" t="s">
        <v>220</v>
      </c>
      <c r="D40">
        <v>33.799999999999997</v>
      </c>
      <c r="E40" s="127" t="s">
        <v>298</v>
      </c>
      <c r="F40" s="127">
        <v>2024</v>
      </c>
      <c r="G40" s="348" t="s">
        <v>299</v>
      </c>
      <c r="H40" s="347" t="s">
        <v>300</v>
      </c>
      <c r="I40" s="316" t="s">
        <v>233</v>
      </c>
      <c r="R40" s="37"/>
      <c r="S40" s="37"/>
      <c r="T40" s="37"/>
    </row>
    <row r="41" spans="2:28">
      <c r="B41" s="352"/>
      <c r="C41" s="81" t="s">
        <v>222</v>
      </c>
      <c r="D41" s="81">
        <v>4.5</v>
      </c>
      <c r="E41" s="148" t="s">
        <v>298</v>
      </c>
      <c r="F41" s="148">
        <v>2024</v>
      </c>
      <c r="G41" s="343"/>
      <c r="H41" s="341"/>
      <c r="I41" s="339"/>
      <c r="R41" s="37"/>
      <c r="S41" s="37"/>
      <c r="T41" s="37"/>
    </row>
    <row r="42" spans="2:28">
      <c r="B42" s="353" t="s">
        <v>301</v>
      </c>
      <c r="C42" t="s">
        <v>220</v>
      </c>
      <c r="D42">
        <v>3658.4</v>
      </c>
      <c r="E42" s="127" t="s">
        <v>302</v>
      </c>
      <c r="F42" s="127">
        <v>2022</v>
      </c>
      <c r="G42" s="348" t="s">
        <v>299</v>
      </c>
      <c r="H42" s="347" t="s">
        <v>303</v>
      </c>
      <c r="I42" s="316" t="s">
        <v>233</v>
      </c>
      <c r="R42" s="37"/>
      <c r="S42" s="37"/>
      <c r="T42" s="37"/>
    </row>
    <row r="43" spans="2:28">
      <c r="B43" s="353"/>
      <c r="C43" t="s">
        <v>222</v>
      </c>
      <c r="D43">
        <v>608.20000000000005</v>
      </c>
      <c r="E43" s="127" t="s">
        <v>302</v>
      </c>
      <c r="F43" s="127">
        <v>2022</v>
      </c>
      <c r="G43" s="343"/>
      <c r="H43" s="347"/>
      <c r="I43" s="339"/>
      <c r="R43" s="37"/>
      <c r="S43" s="37"/>
      <c r="T43" s="37"/>
    </row>
    <row r="44" spans="2:28">
      <c r="B44" s="351" t="s">
        <v>304</v>
      </c>
      <c r="C44" s="130" t="s">
        <v>220</v>
      </c>
      <c r="D44" s="130">
        <v>4221</v>
      </c>
      <c r="E44" s="147" t="s">
        <v>302</v>
      </c>
      <c r="F44" s="147">
        <v>2022</v>
      </c>
      <c r="G44" s="342" t="s">
        <v>299</v>
      </c>
      <c r="H44" s="340" t="s">
        <v>305</v>
      </c>
      <c r="I44" s="315" t="s">
        <v>210</v>
      </c>
      <c r="R44" s="37"/>
      <c r="S44" s="37"/>
      <c r="T44" s="37"/>
    </row>
    <row r="45" spans="2:28">
      <c r="B45" s="353"/>
      <c r="C45" t="s">
        <v>222</v>
      </c>
      <c r="D45">
        <v>470.3</v>
      </c>
      <c r="E45" s="127" t="s">
        <v>302</v>
      </c>
      <c r="F45" s="127">
        <v>2022</v>
      </c>
      <c r="G45" s="343"/>
      <c r="H45" s="347"/>
      <c r="I45" s="339"/>
      <c r="R45" s="37"/>
      <c r="S45" s="37"/>
      <c r="T45" s="37"/>
      <c r="Z45" s="225"/>
    </row>
    <row r="46" spans="2:28">
      <c r="B46" s="351" t="s">
        <v>306</v>
      </c>
      <c r="C46" s="130" t="s">
        <v>220</v>
      </c>
      <c r="D46" s="130">
        <v>4953.5</v>
      </c>
      <c r="E46" s="147" t="s">
        <v>302</v>
      </c>
      <c r="F46" s="147">
        <v>2022</v>
      </c>
      <c r="G46" s="342" t="s">
        <v>299</v>
      </c>
      <c r="H46" s="340" t="s">
        <v>303</v>
      </c>
      <c r="I46" s="316" t="s">
        <v>233</v>
      </c>
      <c r="R46" s="37"/>
      <c r="S46" s="37"/>
      <c r="T46" s="37"/>
    </row>
    <row r="47" spans="2:28">
      <c r="B47" s="353"/>
      <c r="C47" t="s">
        <v>222</v>
      </c>
      <c r="D47">
        <v>762</v>
      </c>
      <c r="E47" s="127" t="s">
        <v>302</v>
      </c>
      <c r="F47" s="127">
        <v>2022</v>
      </c>
      <c r="G47" s="348"/>
      <c r="H47" s="347"/>
      <c r="I47" s="316"/>
      <c r="R47" s="37"/>
      <c r="S47" s="37"/>
      <c r="T47" s="37"/>
    </row>
    <row r="48" spans="2:28">
      <c r="B48" s="351" t="s">
        <v>307</v>
      </c>
      <c r="C48" s="130" t="s">
        <v>220</v>
      </c>
      <c r="D48" s="130">
        <v>1.59</v>
      </c>
      <c r="E48" s="147" t="s">
        <v>308</v>
      </c>
      <c r="F48" s="147">
        <v>2024</v>
      </c>
      <c r="G48" s="342" t="s">
        <v>309</v>
      </c>
      <c r="H48" s="340" t="s">
        <v>310</v>
      </c>
      <c r="I48" s="315" t="s">
        <v>210</v>
      </c>
      <c r="R48" s="37"/>
      <c r="S48" s="37"/>
      <c r="T48" s="37"/>
    </row>
    <row r="49" spans="2:20">
      <c r="B49" s="352"/>
      <c r="C49" s="81" t="s">
        <v>222</v>
      </c>
      <c r="D49" s="81">
        <v>1.75</v>
      </c>
      <c r="E49" s="148" t="s">
        <v>308</v>
      </c>
      <c r="F49" s="148">
        <v>2024</v>
      </c>
      <c r="G49" s="343"/>
      <c r="H49" s="341"/>
      <c r="I49" s="339"/>
      <c r="O49" s="89"/>
      <c r="R49" s="37"/>
      <c r="S49" s="37"/>
      <c r="T49" s="37"/>
    </row>
    <row r="50" spans="2:20">
      <c r="B50" s="353" t="s">
        <v>311</v>
      </c>
      <c r="C50" t="s">
        <v>220</v>
      </c>
      <c r="D50">
        <v>44.6</v>
      </c>
      <c r="E50" s="127" t="s">
        <v>250</v>
      </c>
      <c r="F50" s="127">
        <v>2022</v>
      </c>
      <c r="G50" s="348" t="s">
        <v>299</v>
      </c>
      <c r="H50" s="347" t="s">
        <v>312</v>
      </c>
      <c r="I50" s="316" t="s">
        <v>233</v>
      </c>
      <c r="R50" s="37"/>
      <c r="S50" s="37"/>
      <c r="T50" s="37"/>
    </row>
    <row r="51" spans="2:20">
      <c r="B51" s="352"/>
      <c r="C51" s="81" t="s">
        <v>222</v>
      </c>
      <c r="D51" s="81">
        <v>43.5</v>
      </c>
      <c r="E51" s="148" t="s">
        <v>250</v>
      </c>
      <c r="F51" s="148">
        <v>2022</v>
      </c>
      <c r="G51" s="343"/>
      <c r="H51" s="341"/>
      <c r="I51" s="339"/>
      <c r="R51" s="37"/>
      <c r="S51" s="37"/>
      <c r="T51" s="37"/>
    </row>
    <row r="52" spans="2:20">
      <c r="B52" s="353" t="s">
        <v>313</v>
      </c>
      <c r="C52" t="s">
        <v>220</v>
      </c>
      <c r="D52">
        <v>30.6</v>
      </c>
      <c r="E52" s="127" t="s">
        <v>250</v>
      </c>
      <c r="F52" s="127">
        <v>2024</v>
      </c>
      <c r="G52" s="342" t="s">
        <v>299</v>
      </c>
      <c r="H52" s="340" t="s">
        <v>312</v>
      </c>
      <c r="I52" s="316" t="s">
        <v>233</v>
      </c>
      <c r="T52" s="37"/>
    </row>
    <row r="53" spans="2:20">
      <c r="B53" s="352"/>
      <c r="C53" s="81" t="s">
        <v>222</v>
      </c>
      <c r="D53" s="81">
        <v>37.4</v>
      </c>
      <c r="E53" s="148" t="s">
        <v>250</v>
      </c>
      <c r="F53" s="148">
        <v>2024</v>
      </c>
      <c r="G53" s="343"/>
      <c r="H53" s="341"/>
      <c r="I53" s="339"/>
      <c r="R53" s="37"/>
      <c r="S53" s="37"/>
      <c r="T53" s="37"/>
    </row>
    <row r="54" spans="2:20">
      <c r="B54" s="353" t="s">
        <v>314</v>
      </c>
      <c r="C54" t="s">
        <v>220</v>
      </c>
      <c r="D54">
        <v>1718</v>
      </c>
      <c r="E54" s="127" t="s">
        <v>315</v>
      </c>
      <c r="F54" s="127">
        <v>2022</v>
      </c>
      <c r="G54" s="342" t="s">
        <v>299</v>
      </c>
      <c r="H54" s="340" t="s">
        <v>316</v>
      </c>
      <c r="I54" s="315" t="s">
        <v>233</v>
      </c>
      <c r="R54" s="37"/>
      <c r="S54" s="37"/>
      <c r="T54" s="37"/>
    </row>
    <row r="55" spans="2:20">
      <c r="B55" s="353"/>
      <c r="C55" t="s">
        <v>222</v>
      </c>
      <c r="D55">
        <v>657</v>
      </c>
      <c r="E55" s="127" t="s">
        <v>315</v>
      </c>
      <c r="F55" s="127">
        <v>2013</v>
      </c>
      <c r="G55" s="343"/>
      <c r="H55" s="341"/>
      <c r="I55" s="339"/>
      <c r="R55" s="37"/>
      <c r="S55" s="37"/>
      <c r="T55" s="37"/>
    </row>
    <row r="56" spans="2:20">
      <c r="B56" s="351" t="s">
        <v>317</v>
      </c>
      <c r="C56" s="130" t="s">
        <v>220</v>
      </c>
      <c r="D56" s="130">
        <v>3</v>
      </c>
      <c r="E56" s="147" t="s">
        <v>315</v>
      </c>
      <c r="F56" s="147">
        <v>2022</v>
      </c>
      <c r="G56" s="342" t="s">
        <v>299</v>
      </c>
      <c r="H56" s="340" t="s">
        <v>318</v>
      </c>
      <c r="I56" s="174" t="s">
        <v>233</v>
      </c>
      <c r="R56" s="37"/>
      <c r="S56" s="37"/>
      <c r="T56" s="37"/>
    </row>
    <row r="57" spans="2:20">
      <c r="B57" s="353"/>
      <c r="C57" t="s">
        <v>222</v>
      </c>
      <c r="D57">
        <v>46</v>
      </c>
      <c r="E57" s="127" t="s">
        <v>315</v>
      </c>
      <c r="F57" s="127">
        <v>2018</v>
      </c>
      <c r="G57" s="348"/>
      <c r="H57" s="347"/>
      <c r="I57" s="173" t="s">
        <v>210</v>
      </c>
      <c r="R57" s="37"/>
      <c r="S57" s="37"/>
      <c r="T57" s="37"/>
    </row>
    <row r="58" spans="2:20">
      <c r="B58" s="351" t="s">
        <v>319</v>
      </c>
      <c r="C58" s="130" t="s">
        <v>220</v>
      </c>
      <c r="D58" s="130">
        <v>140600</v>
      </c>
      <c r="E58" s="147" t="s">
        <v>291</v>
      </c>
      <c r="F58" s="147">
        <v>2018</v>
      </c>
      <c r="G58" s="317" t="s">
        <v>299</v>
      </c>
      <c r="H58" s="340" t="s">
        <v>320</v>
      </c>
      <c r="I58" s="315" t="s">
        <v>233</v>
      </c>
      <c r="R58" s="37"/>
      <c r="S58" s="37"/>
      <c r="T58" s="37"/>
    </row>
    <row r="59" spans="2:20">
      <c r="B59" s="353"/>
      <c r="C59" t="s">
        <v>220</v>
      </c>
      <c r="D59">
        <v>105200</v>
      </c>
      <c r="E59" s="127" t="s">
        <v>291</v>
      </c>
      <c r="F59" s="127">
        <v>2022</v>
      </c>
      <c r="G59" s="318"/>
      <c r="H59" s="347"/>
      <c r="I59" s="316"/>
      <c r="R59" s="37"/>
      <c r="S59" s="37"/>
      <c r="T59" s="37"/>
    </row>
    <row r="60" spans="2:20">
      <c r="B60" s="353"/>
      <c r="C60" t="s">
        <v>222</v>
      </c>
      <c r="D60">
        <v>136700</v>
      </c>
      <c r="E60" s="127" t="s">
        <v>291</v>
      </c>
      <c r="F60" s="127">
        <v>2018</v>
      </c>
      <c r="G60" s="318"/>
      <c r="H60" s="347"/>
      <c r="I60" s="316"/>
      <c r="R60" s="37"/>
      <c r="S60" s="37"/>
      <c r="T60" s="37"/>
    </row>
    <row r="61" spans="2:20">
      <c r="B61" s="353"/>
      <c r="C61" t="s">
        <v>222</v>
      </c>
      <c r="D61">
        <v>144500</v>
      </c>
      <c r="E61" s="127" t="s">
        <v>291</v>
      </c>
      <c r="F61" s="127">
        <v>2022</v>
      </c>
      <c r="G61" s="318"/>
      <c r="H61" s="347"/>
      <c r="I61" s="316"/>
      <c r="R61" s="37"/>
      <c r="S61" s="37"/>
      <c r="T61" s="37"/>
    </row>
    <row r="62" spans="2:20">
      <c r="B62" s="349" t="s">
        <v>321</v>
      </c>
      <c r="C62" s="152" t="s">
        <v>220</v>
      </c>
      <c r="D62" s="152">
        <f>29.2*1000</f>
        <v>29200</v>
      </c>
      <c r="E62" s="175" t="s">
        <v>291</v>
      </c>
      <c r="F62" s="175">
        <v>2022</v>
      </c>
      <c r="G62" s="331" t="s">
        <v>299</v>
      </c>
      <c r="H62" s="340" t="s">
        <v>320</v>
      </c>
      <c r="I62" s="356" t="s">
        <v>233</v>
      </c>
      <c r="S62" s="37"/>
      <c r="T62" s="37"/>
    </row>
    <row r="63" spans="2:20">
      <c r="B63" s="350"/>
      <c r="C63" s="150" t="s">
        <v>222</v>
      </c>
      <c r="D63" s="150">
        <f>34.8*1000</f>
        <v>34800</v>
      </c>
      <c r="E63" s="177" t="s">
        <v>291</v>
      </c>
      <c r="F63" s="177">
        <v>2022</v>
      </c>
      <c r="G63" s="332"/>
      <c r="H63" s="341"/>
      <c r="I63" s="357"/>
      <c r="R63" s="37"/>
      <c r="S63" s="37"/>
      <c r="T63" s="37"/>
    </row>
    <row r="64" spans="2:20">
      <c r="B64" s="183" t="s">
        <v>322</v>
      </c>
      <c r="C64" s="34" t="s">
        <v>222</v>
      </c>
      <c r="D64" s="34">
        <f>1635.7*10^3</f>
        <v>1635700</v>
      </c>
      <c r="E64" s="176" t="s">
        <v>291</v>
      </c>
      <c r="F64" s="176">
        <v>2018</v>
      </c>
      <c r="G64" s="172" t="s">
        <v>299</v>
      </c>
      <c r="H64" s="176" t="s">
        <v>320</v>
      </c>
      <c r="I64" s="182" t="s">
        <v>210</v>
      </c>
      <c r="R64" s="37"/>
      <c r="S64" s="37"/>
      <c r="T64" s="37"/>
    </row>
    <row r="65" spans="2:20">
      <c r="B65" s="180"/>
      <c r="C65" s="150"/>
      <c r="D65" s="150"/>
      <c r="E65" s="177"/>
      <c r="F65" s="177"/>
      <c r="G65" s="171"/>
      <c r="H65" s="177"/>
      <c r="I65" s="178"/>
      <c r="R65" s="37"/>
      <c r="S65" s="37"/>
      <c r="T65" s="37"/>
    </row>
    <row r="66" spans="2:20">
      <c r="B66" s="353" t="s">
        <v>323</v>
      </c>
      <c r="C66" t="s">
        <v>220</v>
      </c>
      <c r="D66">
        <v>7.5</v>
      </c>
      <c r="E66" s="127" t="s">
        <v>230</v>
      </c>
      <c r="F66" s="127">
        <v>2022</v>
      </c>
      <c r="G66" s="318" t="s">
        <v>299</v>
      </c>
      <c r="H66" s="334" t="s">
        <v>324</v>
      </c>
      <c r="I66" s="316" t="s">
        <v>233</v>
      </c>
      <c r="R66" s="37"/>
      <c r="S66" s="37"/>
      <c r="T66" s="37"/>
    </row>
    <row r="67" spans="2:20">
      <c r="B67" s="352"/>
      <c r="C67" s="81" t="s">
        <v>222</v>
      </c>
      <c r="D67" s="81">
        <v>30</v>
      </c>
      <c r="E67" s="148" t="s">
        <v>230</v>
      </c>
      <c r="F67" s="148">
        <v>2022</v>
      </c>
      <c r="G67" s="354"/>
      <c r="H67" s="326"/>
      <c r="I67" s="339"/>
      <c r="R67" s="37"/>
      <c r="S67" s="37"/>
      <c r="T67" s="37"/>
    </row>
    <row r="68" spans="2:20">
      <c r="B68" s="154" t="s">
        <v>92</v>
      </c>
      <c r="H68" s="34"/>
      <c r="R68" s="37"/>
      <c r="S68" s="37"/>
      <c r="T68" s="37"/>
    </row>
    <row r="69" spans="2:20">
      <c r="B69" s="153" t="s">
        <v>325</v>
      </c>
      <c r="R69" s="37"/>
      <c r="S69" s="37"/>
      <c r="T69" s="37"/>
    </row>
    <row r="70" spans="2:20">
      <c r="B70" s="165" t="s">
        <v>326</v>
      </c>
      <c r="R70" s="37"/>
      <c r="S70" s="37"/>
      <c r="T70" s="37"/>
    </row>
    <row r="71" spans="2:20">
      <c r="B71" s="153" t="s">
        <v>294</v>
      </c>
      <c r="C71" s="161"/>
      <c r="R71" s="37"/>
      <c r="S71" s="37"/>
      <c r="T71" s="37"/>
    </row>
    <row r="72" spans="2:20">
      <c r="B72" s="164" t="s">
        <v>327</v>
      </c>
      <c r="R72" s="37"/>
      <c r="S72" s="37"/>
      <c r="T72" s="37"/>
    </row>
    <row r="73" spans="2:20">
      <c r="B73" s="153" t="s">
        <v>328</v>
      </c>
      <c r="R73" s="37"/>
      <c r="S73" s="37"/>
      <c r="T73" s="37"/>
    </row>
    <row r="74" spans="2:20">
      <c r="B74" s="165" t="s">
        <v>329</v>
      </c>
      <c r="R74" s="37"/>
      <c r="S74" s="37"/>
      <c r="T74" s="37"/>
    </row>
    <row r="75" spans="2:20">
      <c r="B75" s="153" t="s">
        <v>330</v>
      </c>
      <c r="R75" s="37"/>
      <c r="S75" s="37"/>
      <c r="T75" s="37"/>
    </row>
    <row r="76" spans="2:20">
      <c r="B76" s="164" t="s">
        <v>331</v>
      </c>
      <c r="R76" s="37"/>
      <c r="S76" s="37"/>
      <c r="T76" s="37"/>
    </row>
    <row r="77" spans="2:20">
      <c r="B77" s="153" t="s">
        <v>332</v>
      </c>
      <c r="R77" s="37"/>
      <c r="S77" s="37"/>
      <c r="T77" s="37"/>
    </row>
    <row r="78" spans="2:20">
      <c r="B78" s="164" t="s">
        <v>333</v>
      </c>
      <c r="R78" s="37"/>
      <c r="S78" s="37"/>
      <c r="T78" s="37"/>
    </row>
    <row r="79" spans="2:20">
      <c r="B79" s="153" t="s">
        <v>334</v>
      </c>
      <c r="R79" s="37"/>
      <c r="S79" s="37"/>
      <c r="T79" s="37"/>
    </row>
    <row r="80" spans="2:20">
      <c r="B80" s="164" t="s">
        <v>335</v>
      </c>
      <c r="R80" s="37"/>
      <c r="S80" s="37"/>
      <c r="T80" s="37"/>
    </row>
    <row r="81" spans="2:20">
      <c r="R81" s="37"/>
      <c r="S81" s="37"/>
      <c r="T81" s="37"/>
    </row>
    <row r="82" spans="2:20">
      <c r="R82" s="37"/>
      <c r="S82" s="37"/>
      <c r="T82" s="37"/>
    </row>
    <row r="83" spans="2:20">
      <c r="R83" s="37"/>
      <c r="S83" s="37"/>
      <c r="T83" s="37"/>
    </row>
    <row r="84" spans="2:20">
      <c r="F84"/>
      <c r="R84" s="37"/>
      <c r="S84" s="37"/>
      <c r="T84" s="37"/>
    </row>
    <row r="85" spans="2:20" ht="21">
      <c r="B85" s="322" t="s">
        <v>336</v>
      </c>
      <c r="C85" s="323"/>
      <c r="D85" s="323"/>
      <c r="E85" s="323"/>
      <c r="F85" s="323"/>
      <c r="G85" s="323"/>
      <c r="H85" s="323"/>
      <c r="I85" s="324"/>
      <c r="R85" s="37"/>
      <c r="S85" s="37"/>
      <c r="T85" s="37"/>
    </row>
    <row r="86" spans="2:20" ht="21">
      <c r="B86" s="146"/>
      <c r="C86" s="146"/>
      <c r="D86" s="146"/>
      <c r="E86" s="146"/>
      <c r="F86" s="146"/>
      <c r="R86" s="37"/>
      <c r="S86" s="37"/>
      <c r="T86" s="37"/>
    </row>
    <row r="87" spans="2:20">
      <c r="B87" s="37"/>
      <c r="C87" s="37"/>
      <c r="D87" s="37"/>
      <c r="E87" s="37"/>
      <c r="F87" s="37"/>
      <c r="R87" s="37"/>
      <c r="S87" s="37"/>
      <c r="T87" s="37"/>
    </row>
    <row r="88" spans="2:20" ht="18.75">
      <c r="B88" s="38" t="s">
        <v>337</v>
      </c>
      <c r="C88" s="38"/>
      <c r="D88" s="38"/>
      <c r="E88" s="37"/>
      <c r="F88" s="37"/>
      <c r="R88" s="37"/>
      <c r="S88" s="37"/>
      <c r="T88" s="37"/>
    </row>
    <row r="89" spans="2:20">
      <c r="B89" s="37"/>
      <c r="C89" s="37"/>
      <c r="D89" s="37"/>
      <c r="E89" s="37"/>
      <c r="F89" s="37"/>
      <c r="R89" s="37"/>
      <c r="S89" s="37"/>
      <c r="T89" s="37"/>
    </row>
    <row r="90" spans="2:20">
      <c r="B90" s="39" t="s">
        <v>338</v>
      </c>
      <c r="C90" s="39"/>
      <c r="D90" s="39"/>
      <c r="E90" s="39"/>
      <c r="F90" s="39"/>
      <c r="R90" s="37"/>
      <c r="S90" s="37"/>
      <c r="T90" s="37"/>
    </row>
    <row r="91" spans="2:20">
      <c r="B91" s="40" t="s">
        <v>339</v>
      </c>
      <c r="C91" s="41" t="s">
        <v>340</v>
      </c>
      <c r="D91" s="37"/>
      <c r="E91" s="37"/>
      <c r="F91" s="37"/>
      <c r="R91" s="37"/>
      <c r="S91" s="37"/>
      <c r="T91" s="37"/>
    </row>
    <row r="92" spans="2:20">
      <c r="B92" s="42" t="s">
        <v>341</v>
      </c>
      <c r="C92" s="43">
        <v>250</v>
      </c>
      <c r="D92" s="44"/>
      <c r="E92" s="44"/>
      <c r="F92" s="44"/>
      <c r="R92" s="37"/>
      <c r="S92" s="37"/>
      <c r="T92" s="37"/>
    </row>
    <row r="93" spans="2:20">
      <c r="B93" s="42" t="s">
        <v>342</v>
      </c>
      <c r="C93" s="43">
        <v>3165</v>
      </c>
      <c r="D93" s="37"/>
      <c r="E93" s="37"/>
      <c r="F93" s="37"/>
    </row>
    <row r="94" spans="2:20">
      <c r="B94" s="42" t="s">
        <v>343</v>
      </c>
      <c r="C94" s="43">
        <v>6165</v>
      </c>
      <c r="D94" s="37"/>
      <c r="E94" s="37"/>
      <c r="F94" s="37"/>
    </row>
    <row r="95" spans="2:20">
      <c r="B95" s="42" t="s">
        <v>344</v>
      </c>
      <c r="C95" s="43">
        <v>10789</v>
      </c>
      <c r="D95" s="37"/>
      <c r="E95" s="37"/>
      <c r="F95" s="37"/>
    </row>
    <row r="96" spans="2:20">
      <c r="B96" s="42" t="s">
        <v>345</v>
      </c>
      <c r="C96" s="43">
        <v>11012</v>
      </c>
      <c r="D96" s="37"/>
      <c r="E96" s="37"/>
      <c r="F96" s="37"/>
    </row>
    <row r="97" spans="2:6">
      <c r="B97" s="42" t="s">
        <v>346</v>
      </c>
      <c r="C97" s="43">
        <v>11743</v>
      </c>
      <c r="D97" s="37"/>
      <c r="E97" s="37"/>
      <c r="F97" s="37"/>
    </row>
    <row r="98" spans="2:6">
      <c r="B98" s="42" t="s">
        <v>347</v>
      </c>
      <c r="C98" s="43">
        <v>11799</v>
      </c>
      <c r="D98" s="37"/>
      <c r="E98" s="37"/>
      <c r="F98" s="37"/>
    </row>
    <row r="99" spans="2:6">
      <c r="B99" s="42" t="s">
        <v>348</v>
      </c>
      <c r="C99" s="43">
        <v>14745</v>
      </c>
      <c r="D99" s="37"/>
      <c r="E99" s="37"/>
      <c r="F99" s="37"/>
    </row>
    <row r="100" spans="2:6">
      <c r="B100" s="42" t="s">
        <v>349</v>
      </c>
      <c r="C100" s="43">
        <v>16973</v>
      </c>
      <c r="D100" s="37"/>
      <c r="E100" s="37"/>
      <c r="F100" s="37"/>
    </row>
    <row r="101" spans="2:6">
      <c r="B101" s="42" t="s">
        <v>350</v>
      </c>
      <c r="C101" s="43">
        <v>18328</v>
      </c>
      <c r="D101" s="37"/>
      <c r="E101" s="37"/>
      <c r="F101" s="37"/>
    </row>
    <row r="102" spans="2:6">
      <c r="B102" s="42" t="s">
        <v>351</v>
      </c>
      <c r="C102" s="43">
        <v>18582</v>
      </c>
      <c r="D102" s="37"/>
      <c r="E102" s="37"/>
      <c r="F102" s="37"/>
    </row>
    <row r="103" spans="2:6">
      <c r="B103" s="42" t="s">
        <v>352</v>
      </c>
      <c r="C103" s="43">
        <v>22024</v>
      </c>
      <c r="D103" s="37"/>
      <c r="E103" s="37"/>
      <c r="F103" s="37"/>
    </row>
    <row r="104" spans="2:6">
      <c r="B104" s="42" t="s">
        <v>353</v>
      </c>
      <c r="C104" s="43">
        <v>25835</v>
      </c>
      <c r="D104" s="37"/>
      <c r="E104" s="37"/>
      <c r="F104" s="37"/>
    </row>
    <row r="105" spans="2:6">
      <c r="B105" s="42" t="s">
        <v>354</v>
      </c>
      <c r="C105" s="43">
        <v>31195</v>
      </c>
      <c r="D105" s="37"/>
      <c r="E105" s="37"/>
      <c r="F105" s="37"/>
    </row>
    <row r="106" spans="2:6">
      <c r="B106" s="42" t="s">
        <v>355</v>
      </c>
      <c r="C106" s="43">
        <v>40558</v>
      </c>
      <c r="D106" s="37"/>
      <c r="E106" s="37"/>
      <c r="F106" s="37"/>
    </row>
    <row r="107" spans="2:6">
      <c r="B107" s="42" t="s">
        <v>356</v>
      </c>
      <c r="C107" s="43">
        <v>41820</v>
      </c>
      <c r="D107" s="37"/>
      <c r="E107" s="37"/>
      <c r="F107" s="37"/>
    </row>
    <row r="108" spans="2:6">
      <c r="B108" s="42" t="s">
        <v>357</v>
      </c>
      <c r="C108" s="43">
        <v>43134</v>
      </c>
      <c r="D108" s="37"/>
      <c r="E108" s="37"/>
      <c r="F108" s="37"/>
    </row>
    <row r="109" spans="2:6">
      <c r="B109" s="42" t="s">
        <v>358</v>
      </c>
      <c r="C109" s="43">
        <v>59482</v>
      </c>
      <c r="D109" s="37"/>
      <c r="E109" s="37"/>
      <c r="F109" s="37"/>
    </row>
    <row r="110" spans="2:6">
      <c r="B110" s="42" t="s">
        <v>359</v>
      </c>
      <c r="C110" s="43">
        <v>70127</v>
      </c>
      <c r="D110" s="37"/>
      <c r="E110" s="37"/>
      <c r="F110" s="37"/>
    </row>
    <row r="111" spans="2:6">
      <c r="B111" s="42" t="s">
        <v>360</v>
      </c>
      <c r="C111" s="43">
        <v>70709</v>
      </c>
      <c r="D111" s="37"/>
      <c r="E111" s="37"/>
      <c r="F111" s="37"/>
    </row>
    <row r="112" spans="2:6">
      <c r="B112" s="42" t="s">
        <v>361</v>
      </c>
      <c r="C112" s="43">
        <v>85090</v>
      </c>
      <c r="D112" s="37"/>
      <c r="E112" s="37"/>
      <c r="F112" s="37"/>
    </row>
    <row r="113" spans="2:6">
      <c r="B113" s="42" t="s">
        <v>362</v>
      </c>
      <c r="C113" s="43">
        <v>91175</v>
      </c>
      <c r="D113" s="37"/>
      <c r="E113" s="37"/>
      <c r="F113" s="37"/>
    </row>
    <row r="114" spans="2:6">
      <c r="B114" s="45" t="s">
        <v>363</v>
      </c>
      <c r="C114" s="135">
        <v>114262</v>
      </c>
      <c r="D114" s="37"/>
      <c r="E114" s="37"/>
      <c r="F114" s="37"/>
    </row>
    <row r="115" spans="2:6">
      <c r="B115" s="45" t="s">
        <v>364</v>
      </c>
      <c r="C115" s="135">
        <v>135089</v>
      </c>
      <c r="D115" s="37"/>
      <c r="E115" s="37"/>
      <c r="F115" s="37"/>
    </row>
    <row r="116" spans="2:6">
      <c r="B116" s="45" t="s">
        <v>365</v>
      </c>
      <c r="C116" s="135">
        <v>137001</v>
      </c>
      <c r="D116" s="37"/>
      <c r="E116" s="37"/>
      <c r="F116" s="37"/>
    </row>
    <row r="117" spans="2:6">
      <c r="B117" s="45" t="s">
        <v>366</v>
      </c>
      <c r="C117" s="135">
        <v>148552</v>
      </c>
      <c r="D117" s="37"/>
      <c r="E117" s="37"/>
      <c r="F117" s="37"/>
    </row>
    <row r="118" spans="2:6">
      <c r="B118" s="46" t="s">
        <v>367</v>
      </c>
      <c r="C118" s="136">
        <v>294735</v>
      </c>
      <c r="D118" s="37"/>
      <c r="E118" s="37"/>
      <c r="F118" s="37"/>
    </row>
    <row r="119" spans="2:6">
      <c r="B119" s="377" t="s">
        <v>368</v>
      </c>
      <c r="C119" s="376"/>
      <c r="D119" s="37"/>
      <c r="E119" s="37"/>
      <c r="F119" s="37"/>
    </row>
    <row r="120" spans="2:6">
      <c r="B120" s="47" t="s">
        <v>369</v>
      </c>
      <c r="C120" s="37"/>
      <c r="D120" s="37"/>
      <c r="E120" s="37"/>
      <c r="F120" s="37"/>
    </row>
    <row r="121" spans="2:6">
      <c r="B121" s="48" t="s">
        <v>370</v>
      </c>
      <c r="C121" s="48"/>
      <c r="D121" s="48"/>
      <c r="E121" s="37"/>
      <c r="F121" s="37"/>
    </row>
    <row r="122" spans="2:6">
      <c r="B122" s="48" t="s">
        <v>371</v>
      </c>
      <c r="C122" s="37"/>
      <c r="D122" s="37"/>
      <c r="E122" s="37"/>
      <c r="F122" s="37"/>
    </row>
    <row r="123" spans="2:6">
      <c r="B123" s="49" t="s">
        <v>372</v>
      </c>
      <c r="C123" s="49"/>
      <c r="D123" s="49"/>
      <c r="E123" s="37"/>
      <c r="F123" s="37"/>
    </row>
    <row r="124" spans="2:6">
      <c r="B124" s="37"/>
      <c r="C124" s="37"/>
      <c r="D124" s="37"/>
      <c r="E124" s="37"/>
      <c r="F124" s="37"/>
    </row>
    <row r="125" spans="2:6">
      <c r="C125" s="39"/>
      <c r="D125" s="39"/>
      <c r="E125" s="37"/>
      <c r="F125" s="37"/>
    </row>
    <row r="126" spans="2:6">
      <c r="B126" s="39" t="s">
        <v>373</v>
      </c>
      <c r="C126" s="37"/>
      <c r="D126" s="37"/>
      <c r="E126" s="37"/>
      <c r="F126" s="37"/>
    </row>
    <row r="127" spans="2:6">
      <c r="B127" s="50" t="s">
        <v>339</v>
      </c>
      <c r="C127" s="50" t="s">
        <v>374</v>
      </c>
      <c r="D127" s="64" t="s">
        <v>375</v>
      </c>
      <c r="E127" s="51" t="s">
        <v>376</v>
      </c>
      <c r="F127" s="37"/>
    </row>
    <row r="128" spans="2:6">
      <c r="B128" s="52"/>
      <c r="C128" s="69" t="s">
        <v>377</v>
      </c>
      <c r="D128" s="65" t="s">
        <v>378</v>
      </c>
      <c r="E128" s="53" t="s">
        <v>379</v>
      </c>
      <c r="F128" s="37"/>
    </row>
    <row r="129" spans="2:6">
      <c r="B129" s="50" t="s">
        <v>367</v>
      </c>
      <c r="C129" s="70">
        <f>10*5.5</f>
        <v>55</v>
      </c>
      <c r="D129" s="70">
        <v>4</v>
      </c>
      <c r="E129" s="97">
        <f>C129*(52-D129)</f>
        <v>2640</v>
      </c>
      <c r="F129" s="37"/>
    </row>
    <row r="130" spans="2:6">
      <c r="B130" s="63" t="s">
        <v>366</v>
      </c>
      <c r="C130" s="71">
        <v>52</v>
      </c>
      <c r="D130" s="61">
        <v>4</v>
      </c>
      <c r="E130" s="57">
        <f>C130*(52-D130)</f>
        <v>2496</v>
      </c>
      <c r="F130" s="37"/>
    </row>
    <row r="131" spans="2:6">
      <c r="B131" s="54" t="s">
        <v>365</v>
      </c>
      <c r="C131" s="52">
        <v>49.5</v>
      </c>
      <c r="D131" s="67">
        <v>4</v>
      </c>
      <c r="E131" s="55">
        <f t="shared" ref="E130:E133" si="1">C131*(52-D131)</f>
        <v>2376</v>
      </c>
      <c r="F131" s="37"/>
    </row>
    <row r="132" spans="2:6">
      <c r="B132" s="63" t="s">
        <v>364</v>
      </c>
      <c r="C132" s="71">
        <v>55</v>
      </c>
      <c r="D132" s="61">
        <v>4</v>
      </c>
      <c r="E132" s="60">
        <f t="shared" si="1"/>
        <v>2640</v>
      </c>
      <c r="F132" s="37"/>
    </row>
    <row r="133" spans="2:6">
      <c r="B133" s="56" t="s">
        <v>363</v>
      </c>
      <c r="C133" s="58">
        <v>52</v>
      </c>
      <c r="D133" s="68">
        <v>4</v>
      </c>
      <c r="E133" s="62">
        <f>C133*(52-D133)</f>
        <v>2496</v>
      </c>
      <c r="F133" s="37"/>
    </row>
    <row r="134" spans="2:6">
      <c r="B134" s="47" t="s">
        <v>92</v>
      </c>
      <c r="C134" s="37"/>
      <c r="D134" s="37"/>
      <c r="E134" s="37"/>
      <c r="F134" s="37"/>
    </row>
    <row r="135" spans="2:6">
      <c r="B135" s="73" t="s">
        <v>380</v>
      </c>
      <c r="F135"/>
    </row>
    <row r="136" spans="2:6">
      <c r="B136" s="37" t="s">
        <v>363</v>
      </c>
      <c r="C136" s="72" t="s">
        <v>381</v>
      </c>
      <c r="D136" s="37"/>
      <c r="E136" s="37"/>
      <c r="F136" s="37"/>
    </row>
    <row r="137" spans="2:6">
      <c r="B137" s="37" t="s">
        <v>364</v>
      </c>
      <c r="C137" s="72" t="s">
        <v>382</v>
      </c>
      <c r="D137" s="37"/>
      <c r="E137" s="37"/>
      <c r="F137" s="37"/>
    </row>
    <row r="138" spans="2:6">
      <c r="B138" s="37" t="s">
        <v>366</v>
      </c>
      <c r="C138" s="72" t="s">
        <v>383</v>
      </c>
      <c r="D138" s="37"/>
      <c r="E138" s="37"/>
      <c r="F138" s="37"/>
    </row>
    <row r="139" spans="2:6">
      <c r="B139" s="37" t="s">
        <v>384</v>
      </c>
      <c r="C139" s="72" t="s">
        <v>385</v>
      </c>
      <c r="D139" s="37"/>
      <c r="E139" s="37"/>
      <c r="F139" s="37"/>
    </row>
    <row r="140" spans="2:6">
      <c r="B140" s="37" t="s">
        <v>367</v>
      </c>
      <c r="C140" s="72" t="s">
        <v>386</v>
      </c>
      <c r="D140" s="37"/>
      <c r="E140" s="37"/>
      <c r="F140" s="37"/>
    </row>
    <row r="141" spans="2:6">
      <c r="B141" s="37"/>
      <c r="C141" s="37"/>
      <c r="D141" s="37"/>
      <c r="E141" s="37"/>
      <c r="F141" s="37"/>
    </row>
    <row r="142" spans="2:6">
      <c r="B142" s="37" t="s">
        <v>387</v>
      </c>
      <c r="C142" s="37"/>
      <c r="D142" s="37"/>
      <c r="E142" s="37"/>
      <c r="F142" s="37"/>
    </row>
    <row r="143" spans="2:6">
      <c r="B143" s="37"/>
      <c r="C143" s="118" t="s">
        <v>193</v>
      </c>
      <c r="D143" s="138" t="s">
        <v>103</v>
      </c>
      <c r="F143"/>
    </row>
    <row r="144" spans="2:6">
      <c r="B144" s="50" t="s">
        <v>374</v>
      </c>
      <c r="C144" s="121">
        <v>48</v>
      </c>
      <c r="D144" s="140" t="s">
        <v>388</v>
      </c>
      <c r="E144" s="37"/>
      <c r="F144" s="37"/>
    </row>
    <row r="145" spans="2:6">
      <c r="B145" s="69" t="s">
        <v>377</v>
      </c>
      <c r="C145" s="58"/>
      <c r="D145" s="87"/>
      <c r="F145" s="37"/>
    </row>
    <row r="146" spans="2:6">
      <c r="B146" s="50" t="s">
        <v>375</v>
      </c>
      <c r="C146" s="52">
        <v>20</v>
      </c>
      <c r="D146" s="141" t="s">
        <v>389</v>
      </c>
      <c r="E146" s="37"/>
      <c r="F146" s="37"/>
    </row>
    <row r="147" spans="2:6">
      <c r="B147" s="137" t="s">
        <v>390</v>
      </c>
      <c r="C147" s="58"/>
      <c r="D147" s="68"/>
      <c r="E147" s="37"/>
      <c r="F147" s="37"/>
    </row>
    <row r="148" spans="2:6">
      <c r="B148" s="47" t="s">
        <v>92</v>
      </c>
      <c r="C148" s="37"/>
      <c r="D148" s="37"/>
      <c r="E148" s="37"/>
      <c r="F148" s="37"/>
    </row>
    <row r="149" spans="2:6">
      <c r="B149" s="76" t="s">
        <v>391</v>
      </c>
      <c r="C149" s="37"/>
      <c r="D149" s="37"/>
      <c r="E149" s="37"/>
      <c r="F149" s="37"/>
    </row>
    <row r="150" spans="2:6" ht="15.75" customHeight="1">
      <c r="B150" s="47" t="s">
        <v>392</v>
      </c>
      <c r="C150" s="37"/>
      <c r="D150" s="37"/>
      <c r="E150" s="37"/>
      <c r="F150" s="37"/>
    </row>
    <row r="151" spans="2:6">
      <c r="B151" s="76" t="s">
        <v>393</v>
      </c>
      <c r="C151" s="37"/>
      <c r="D151" s="37"/>
      <c r="E151" s="37"/>
      <c r="F151" s="37"/>
    </row>
    <row r="152" spans="2:6" ht="15.75" customHeight="1">
      <c r="B152" s="47" t="s">
        <v>394</v>
      </c>
      <c r="C152" s="37"/>
      <c r="D152" s="37"/>
      <c r="E152" s="37"/>
      <c r="F152" s="37"/>
    </row>
    <row r="153" spans="2:6">
      <c r="B153" s="37"/>
      <c r="C153" s="37"/>
      <c r="D153" s="37"/>
      <c r="E153" s="37"/>
      <c r="F153" s="37"/>
    </row>
    <row r="154" spans="2:6">
      <c r="B154" s="37"/>
      <c r="C154" s="37"/>
      <c r="D154" s="37"/>
      <c r="E154" s="37"/>
      <c r="F154" s="37"/>
    </row>
    <row r="155" spans="2:6" ht="18.75">
      <c r="B155" s="38" t="s">
        <v>395</v>
      </c>
      <c r="C155" s="37"/>
      <c r="D155" s="37"/>
      <c r="E155" s="37"/>
      <c r="F155" s="37"/>
    </row>
    <row r="156" spans="2:6">
      <c r="B156" s="37"/>
      <c r="C156" s="37"/>
      <c r="D156" s="37"/>
      <c r="E156" s="37"/>
      <c r="F156" s="37"/>
    </row>
    <row r="157" spans="2:6" ht="15.75" customHeight="1">
      <c r="B157" s="74" t="s">
        <v>396</v>
      </c>
      <c r="C157" s="37"/>
      <c r="D157" s="37"/>
      <c r="E157" s="37"/>
      <c r="F157" s="37"/>
    </row>
    <row r="158" spans="2:6" ht="15.75" customHeight="1">
      <c r="B158" s="74" t="s">
        <v>397</v>
      </c>
      <c r="C158" s="37"/>
      <c r="D158" s="37"/>
      <c r="E158" s="37"/>
      <c r="F158" s="37"/>
    </row>
    <row r="159" spans="2:6" ht="15.75" customHeight="1">
      <c r="B159" s="85" t="s">
        <v>398</v>
      </c>
      <c r="C159" s="78" t="s">
        <v>399</v>
      </c>
      <c r="D159" s="85" t="s">
        <v>400</v>
      </c>
      <c r="E159" s="79" t="s">
        <v>140</v>
      </c>
      <c r="F159"/>
    </row>
    <row r="160" spans="2:6" ht="45.75" customHeight="1">
      <c r="B160" s="93" t="s">
        <v>401</v>
      </c>
      <c r="C160" s="83" t="s">
        <v>402</v>
      </c>
      <c r="D160" s="88" t="s">
        <v>403</v>
      </c>
      <c r="E160" s="84" t="s">
        <v>403</v>
      </c>
      <c r="F160"/>
    </row>
    <row r="161" spans="2:6" ht="15.75" customHeight="1">
      <c r="B161" s="92" t="s">
        <v>404</v>
      </c>
      <c r="C161" s="37">
        <f>AVERAGE(17,20)</f>
        <v>18.5</v>
      </c>
      <c r="D161" s="67">
        <v>10.4</v>
      </c>
      <c r="E161" s="55">
        <f>AVERAGE(6,10,4,7,10)</f>
        <v>7.4</v>
      </c>
      <c r="F161"/>
    </row>
    <row r="162" spans="2:6" ht="15.75" customHeight="1">
      <c r="B162" s="67"/>
      <c r="C162" s="99" t="s">
        <v>405</v>
      </c>
      <c r="D162" s="100" t="s">
        <v>406</v>
      </c>
      <c r="E162" s="101" t="s">
        <v>407</v>
      </c>
      <c r="F162"/>
    </row>
    <row r="163" spans="2:6" ht="15.75" customHeight="1">
      <c r="B163" s="95" t="s">
        <v>408</v>
      </c>
      <c r="C163" s="59">
        <f>AVERAGE(0.3,0.5)</f>
        <v>0.4</v>
      </c>
      <c r="D163" s="66">
        <v>0.3</v>
      </c>
      <c r="E163" s="60">
        <v>0.4</v>
      </c>
      <c r="F163"/>
    </row>
    <row r="164" spans="2:6" ht="15.75" customHeight="1">
      <c r="B164" s="125"/>
      <c r="C164" s="99" t="s">
        <v>409</v>
      </c>
      <c r="D164" s="100" t="s">
        <v>410</v>
      </c>
      <c r="E164" s="101" t="s">
        <v>411</v>
      </c>
      <c r="F164"/>
    </row>
    <row r="165" spans="2:6" ht="15.75" customHeight="1">
      <c r="B165" s="122" t="s">
        <v>412</v>
      </c>
      <c r="C165" s="120"/>
      <c r="D165" s="111">
        <v>0.5</v>
      </c>
      <c r="E165" s="111">
        <v>0.7</v>
      </c>
      <c r="F165"/>
    </row>
    <row r="166" spans="2:6" ht="15.75" customHeight="1">
      <c r="B166" s="116"/>
      <c r="C166" s="87"/>
      <c r="D166" s="123" t="s">
        <v>410</v>
      </c>
      <c r="E166" s="124" t="s">
        <v>411</v>
      </c>
      <c r="F166"/>
    </row>
    <row r="167" spans="2:6" ht="15.75" customHeight="1">
      <c r="B167" s="91" t="s">
        <v>413</v>
      </c>
      <c r="F167"/>
    </row>
    <row r="168" spans="2:6" ht="15.75" customHeight="1">
      <c r="B168" s="91" t="s">
        <v>414</v>
      </c>
      <c r="F168"/>
    </row>
    <row r="169" spans="2:6" ht="15.75" customHeight="1">
      <c r="B169" s="91" t="s">
        <v>415</v>
      </c>
      <c r="F169"/>
    </row>
    <row r="170" spans="2:6" ht="15.75" customHeight="1">
      <c r="B170" s="91" t="s">
        <v>416</v>
      </c>
      <c r="F170"/>
    </row>
    <row r="171" spans="2:6" ht="15.75" customHeight="1">
      <c r="B171" s="90" t="s">
        <v>92</v>
      </c>
      <c r="F171"/>
    </row>
    <row r="172" spans="2:6" ht="15.75" customHeight="1">
      <c r="B172" s="76" t="s">
        <v>417</v>
      </c>
      <c r="F172"/>
    </row>
    <row r="173" spans="2:6" ht="15.75" customHeight="1">
      <c r="B173" t="s">
        <v>418</v>
      </c>
      <c r="F173"/>
    </row>
    <row r="174" spans="2:6" ht="15.75" customHeight="1">
      <c r="F174"/>
    </row>
    <row r="175" spans="2:6" ht="15.75" customHeight="1">
      <c r="F175"/>
    </row>
    <row r="176" spans="2:6" ht="15.75" customHeight="1">
      <c r="B176" s="115" t="s">
        <v>419</v>
      </c>
      <c r="C176" s="114" t="s">
        <v>420</v>
      </c>
      <c r="D176" s="111" t="s">
        <v>103</v>
      </c>
      <c r="F176"/>
    </row>
    <row r="177" spans="2:6" ht="15.75" customHeight="1">
      <c r="B177" s="117" t="s">
        <v>421</v>
      </c>
      <c r="C177" s="97">
        <v>0.6</v>
      </c>
      <c r="D177" s="98" t="s">
        <v>422</v>
      </c>
      <c r="F177"/>
    </row>
    <row r="178" spans="2:6" ht="15.75" customHeight="1">
      <c r="B178" s="116" t="s">
        <v>423</v>
      </c>
      <c r="C178" s="87">
        <v>0.8</v>
      </c>
      <c r="D178" s="82" t="s">
        <v>422</v>
      </c>
      <c r="F178"/>
    </row>
    <row r="179" spans="2:6" ht="15.75" customHeight="1">
      <c r="B179" s="90" t="s">
        <v>369</v>
      </c>
      <c r="F179"/>
    </row>
    <row r="180" spans="2:6" ht="15.75" customHeight="1">
      <c r="B180" s="72" t="s">
        <v>424</v>
      </c>
      <c r="F180"/>
    </row>
    <row r="181" spans="2:6" ht="15.75" customHeight="1">
      <c r="F181"/>
    </row>
    <row r="182" spans="2:6" ht="15.75" customHeight="1">
      <c r="F182"/>
    </row>
    <row r="183" spans="2:6" ht="15.75" customHeight="1">
      <c r="B183" s="118" t="s">
        <v>425</v>
      </c>
      <c r="C183" s="96">
        <v>8</v>
      </c>
      <c r="D183" s="119" t="s">
        <v>426</v>
      </c>
      <c r="F183"/>
    </row>
    <row r="184" spans="2:6" ht="15.75" customHeight="1">
      <c r="B184" s="90" t="s">
        <v>130</v>
      </c>
      <c r="F184"/>
    </row>
    <row r="185" spans="2:6" ht="15.75" customHeight="1">
      <c r="B185" s="72" t="s">
        <v>427</v>
      </c>
      <c r="F185"/>
    </row>
    <row r="186" spans="2:6" ht="15.75" customHeight="1">
      <c r="F186"/>
    </row>
    <row r="187" spans="2:6" ht="15.75" customHeight="1">
      <c r="F187"/>
    </row>
    <row r="188" spans="2:6" ht="15.75" customHeight="1">
      <c r="B188" s="77" t="s">
        <v>398</v>
      </c>
      <c r="C188" s="344" t="s">
        <v>428</v>
      </c>
      <c r="D188" s="305"/>
      <c r="E188" s="114" t="s">
        <v>429</v>
      </c>
      <c r="F188"/>
    </row>
    <row r="189" spans="2:6" ht="15.75" customHeight="1">
      <c r="B189" s="116"/>
      <c r="C189" s="133" t="s">
        <v>430</v>
      </c>
      <c r="D189" s="127" t="s">
        <v>431</v>
      </c>
      <c r="E189" s="87"/>
      <c r="F189"/>
    </row>
    <row r="190" spans="2:6" ht="46.5" customHeight="1">
      <c r="B190" s="113" t="s">
        <v>401</v>
      </c>
      <c r="C190" s="132" t="s">
        <v>432</v>
      </c>
      <c r="D190" s="128" t="s">
        <v>431</v>
      </c>
      <c r="E190" s="131" t="s">
        <v>433</v>
      </c>
      <c r="F190"/>
    </row>
    <row r="191" spans="2:6" ht="15.75" customHeight="1">
      <c r="B191" s="122" t="s">
        <v>434</v>
      </c>
      <c r="C191" s="117">
        <v>493</v>
      </c>
      <c r="D191" s="98">
        <v>2006</v>
      </c>
      <c r="E191" s="111">
        <v>95</v>
      </c>
      <c r="F191"/>
    </row>
    <row r="192" spans="2:6" ht="15.75" customHeight="1">
      <c r="B192" s="134" t="s">
        <v>435</v>
      </c>
      <c r="C192" s="81">
        <v>2588.5</v>
      </c>
      <c r="D192" s="81">
        <v>7260</v>
      </c>
      <c r="E192" s="97">
        <v>582</v>
      </c>
      <c r="F192"/>
    </row>
    <row r="193" spans="2:6" ht="15.75" customHeight="1">
      <c r="B193" s="90" t="s">
        <v>130</v>
      </c>
      <c r="F193"/>
    </row>
    <row r="194" spans="2:6" ht="15.75" customHeight="1">
      <c r="B194" s="76" t="s">
        <v>436</v>
      </c>
      <c r="F194"/>
    </row>
    <row r="195" spans="2:6" ht="15.75" customHeight="1">
      <c r="B195" s="76" t="s">
        <v>437</v>
      </c>
      <c r="F195"/>
    </row>
    <row r="196" spans="2:6" ht="15.75" customHeight="1">
      <c r="B196" t="s">
        <v>438</v>
      </c>
      <c r="F196"/>
    </row>
    <row r="197" spans="2:6" ht="15.75" customHeight="1">
      <c r="F197"/>
    </row>
    <row r="198" spans="2:6" ht="15.75" customHeight="1">
      <c r="F198"/>
    </row>
    <row r="199" spans="2:6" ht="15.75" customHeight="1">
      <c r="F199"/>
    </row>
    <row r="200" spans="2:6" ht="15.75" customHeight="1">
      <c r="F200"/>
    </row>
    <row r="201" spans="2:6" ht="15.75" customHeight="1">
      <c r="F201"/>
    </row>
    <row r="202" spans="2:6" ht="15.75" customHeight="1">
      <c r="F202"/>
    </row>
    <row r="203" spans="2:6" ht="15.75" customHeight="1">
      <c r="F203"/>
    </row>
    <row r="204" spans="2:6" ht="15.75" customHeight="1">
      <c r="F204"/>
    </row>
    <row r="205" spans="2:6" ht="15.75" customHeight="1">
      <c r="F205"/>
    </row>
    <row r="206" spans="2:6" ht="15.75" customHeight="1">
      <c r="F206"/>
    </row>
    <row r="207" spans="2:6" ht="15.75" customHeight="1">
      <c r="F207"/>
    </row>
    <row r="208" spans="2:6" ht="15.75" customHeight="1">
      <c r="F208"/>
    </row>
    <row r="209" spans="6:6" ht="15.75" customHeight="1">
      <c r="F209"/>
    </row>
    <row r="210" spans="6:6" ht="15.75" customHeight="1">
      <c r="F210"/>
    </row>
    <row r="211" spans="6:6" ht="15.75" customHeight="1">
      <c r="F211"/>
    </row>
    <row r="212" spans="6:6" ht="15.75" customHeight="1">
      <c r="F212"/>
    </row>
  </sheetData>
  <mergeCells count="75">
    <mergeCell ref="V4:AC4"/>
    <mergeCell ref="L4:S4"/>
    <mergeCell ref="H58:H61"/>
    <mergeCell ref="H66:H67"/>
    <mergeCell ref="G66:G67"/>
    <mergeCell ref="I54:I55"/>
    <mergeCell ref="L9:L10"/>
    <mergeCell ref="L11:L12"/>
    <mergeCell ref="G62:G63"/>
    <mergeCell ref="H62:H63"/>
    <mergeCell ref="I62:I63"/>
    <mergeCell ref="H20:H21"/>
    <mergeCell ref="I20:I21"/>
    <mergeCell ref="G20:G21"/>
    <mergeCell ref="I38:I39"/>
    <mergeCell ref="H56:H57"/>
    <mergeCell ref="B66:B67"/>
    <mergeCell ref="B44:B45"/>
    <mergeCell ref="B46:B47"/>
    <mergeCell ref="H44:H45"/>
    <mergeCell ref="I44:I45"/>
    <mergeCell ref="I46:I47"/>
    <mergeCell ref="H46:H47"/>
    <mergeCell ref="G48:G49"/>
    <mergeCell ref="I48:I49"/>
    <mergeCell ref="G50:G51"/>
    <mergeCell ref="G56:G57"/>
    <mergeCell ref="I50:I51"/>
    <mergeCell ref="I52:I53"/>
    <mergeCell ref="I66:I67"/>
    <mergeCell ref="H50:H51"/>
    <mergeCell ref="H52:H53"/>
    <mergeCell ref="B40:B41"/>
    <mergeCell ref="B42:B43"/>
    <mergeCell ref="B54:B55"/>
    <mergeCell ref="B56:B57"/>
    <mergeCell ref="B58:B61"/>
    <mergeCell ref="C188:D188"/>
    <mergeCell ref="G36:G37"/>
    <mergeCell ref="H40:H41"/>
    <mergeCell ref="H48:H49"/>
    <mergeCell ref="G40:G41"/>
    <mergeCell ref="G46:G47"/>
    <mergeCell ref="G42:G43"/>
    <mergeCell ref="H42:H43"/>
    <mergeCell ref="G44:G45"/>
    <mergeCell ref="B85:I85"/>
    <mergeCell ref="B62:B63"/>
    <mergeCell ref="B36:B37"/>
    <mergeCell ref="B38:B39"/>
    <mergeCell ref="B48:B49"/>
    <mergeCell ref="B50:B51"/>
    <mergeCell ref="B52:B53"/>
    <mergeCell ref="I36:I37"/>
    <mergeCell ref="I40:I41"/>
    <mergeCell ref="I42:I43"/>
    <mergeCell ref="H54:H55"/>
    <mergeCell ref="G52:G53"/>
    <mergeCell ref="G54:G55"/>
    <mergeCell ref="B11:B12"/>
    <mergeCell ref="L30:L32"/>
    <mergeCell ref="I58:I61"/>
    <mergeCell ref="G58:G61"/>
    <mergeCell ref="AE4:AL4"/>
    <mergeCell ref="B4:I4"/>
    <mergeCell ref="B7:I7"/>
    <mergeCell ref="H11:H12"/>
    <mergeCell ref="I11:I12"/>
    <mergeCell ref="L16:L17"/>
    <mergeCell ref="B20:B21"/>
    <mergeCell ref="G11:G12"/>
    <mergeCell ref="G13:G18"/>
    <mergeCell ref="H13:H18"/>
    <mergeCell ref="I13:I18"/>
    <mergeCell ref="B13:B18"/>
  </mergeCells>
  <hyperlinks>
    <hyperlink ref="C136" r:id="rId1" xr:uid="{3E512ACB-E2F5-4555-9867-AB1BFA82EBBB}"/>
    <hyperlink ref="C137" r:id="rId2" xr:uid="{FBED1ADD-8D47-4DC0-94B1-CA44E4E57696}"/>
    <hyperlink ref="C138" r:id="rId3" xr:uid="{EC92D850-D221-4104-8B25-3E76CEA637BB}"/>
    <hyperlink ref="C139" r:id="rId4" xr:uid="{FE1B3DD3-F2E0-431E-BE3D-5E52749576F0}"/>
    <hyperlink ref="C140" r:id="rId5" xr:uid="{CFC03C59-6619-4901-9723-B7B2000D8D16}"/>
    <hyperlink ref="B180" r:id="rId6" xr:uid="{A2246A5A-AC69-4F6E-96FF-7374F0A6E05F}"/>
    <hyperlink ref="B185" r:id="rId7" xr:uid="{4FB0AE3D-D8B8-4954-8FD2-1A58E8BCD0D9}"/>
    <hyperlink ref="B78" r:id="rId8" xr:uid="{48393955-6F99-4D76-BBE2-E1D4C599D31E}"/>
    <hyperlink ref="B80" r:id="rId9" xr:uid="{9F45F734-73B9-4AFA-B41A-7996273C144C}"/>
    <hyperlink ref="B72" r:id="rId10" xr:uid="{62F32692-0213-44F8-9073-3930D3D46B9C}"/>
    <hyperlink ref="B70" r:id="rId11" xr:uid="{17CD6530-357D-4061-8F5B-CDC1606FD07D}"/>
    <hyperlink ref="B74" r:id="rId12" xr:uid="{DF6F5299-DB45-4BFB-B9BA-5EC032974E15}"/>
    <hyperlink ref="B76" r:id="rId13" xr:uid="{CCCB8BC0-6618-46A7-B3E2-67D4305E1C81}"/>
    <hyperlink ref="B25" r:id="rId14" xr:uid="{2E365681-1488-437E-9831-9FBEEEC9F5B7}"/>
    <hyperlink ref="B29" r:id="rId15" xr:uid="{5DD09831-67D4-4555-8F5B-4FDF62C340BD}"/>
    <hyperlink ref="B27" r:id="rId16" xr:uid="{617373D9-300B-4068-A400-D8E02DA052AC}"/>
    <hyperlink ref="B31" r:id="rId17" xr:uid="{32CCEBF1-31B3-4D29-A86E-6FDD6084590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0F61-1B8B-8A4E-9C01-D1935FF9D8D2}">
  <sheetPr>
    <tabColor theme="8" tint="0.79998168889431442"/>
  </sheetPr>
  <dimension ref="B2:AC288"/>
  <sheetViews>
    <sheetView topLeftCell="F223" workbookViewId="0">
      <selection activeCell="Q244" sqref="Q244"/>
    </sheetView>
  </sheetViews>
  <sheetFormatPr defaultColWidth="11" defaultRowHeight="15.75"/>
  <cols>
    <col min="2" max="2" width="22.125" customWidth="1"/>
    <col min="3" max="3" width="18.125" customWidth="1"/>
    <col min="4" max="4" width="14.5" customWidth="1"/>
    <col min="5" max="5" width="15.125" customWidth="1"/>
    <col min="6" max="6" width="18.125" customWidth="1"/>
    <col min="7" max="7" width="22.5" customWidth="1"/>
    <col min="8" max="8" width="20.75" customWidth="1"/>
    <col min="12" max="12" width="20.875" customWidth="1"/>
  </cols>
  <sheetData>
    <row r="2" spans="2:29" ht="26.25">
      <c r="B2" s="307" t="s">
        <v>160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</row>
    <row r="4" spans="2:29">
      <c r="B4" s="239" t="s">
        <v>439</v>
      </c>
    </row>
    <row r="5" spans="2:29">
      <c r="B5" s="76" t="s">
        <v>440</v>
      </c>
    </row>
    <row r="6" spans="2:29">
      <c r="B6" s="76" t="s">
        <v>441</v>
      </c>
    </row>
    <row r="7" spans="2:29">
      <c r="B7" t="s">
        <v>442</v>
      </c>
    </row>
    <row r="8" spans="2:29" ht="15.95"/>
    <row r="10" spans="2:29" ht="26.25">
      <c r="B10" s="360" t="s">
        <v>443</v>
      </c>
      <c r="C10" s="361"/>
      <c r="D10" s="361"/>
      <c r="E10" s="361"/>
      <c r="F10" s="361"/>
      <c r="G10" s="361"/>
      <c r="H10" s="361"/>
      <c r="I10" s="362"/>
      <c r="L10" s="360" t="s">
        <v>444</v>
      </c>
      <c r="M10" s="361"/>
      <c r="N10" s="361"/>
      <c r="O10" s="361"/>
      <c r="P10" s="361"/>
      <c r="Q10" s="361"/>
      <c r="R10" s="361"/>
      <c r="S10" s="362"/>
      <c r="V10" s="360" t="s">
        <v>445</v>
      </c>
      <c r="W10" s="361"/>
      <c r="X10" s="361"/>
      <c r="Y10" s="361"/>
      <c r="Z10" s="361"/>
      <c r="AA10" s="361"/>
      <c r="AB10" s="361"/>
      <c r="AC10" s="362"/>
    </row>
    <row r="12" spans="2:29">
      <c r="B12" s="91" t="s">
        <v>446</v>
      </c>
    </row>
    <row r="13" spans="2:29" ht="18.75">
      <c r="B13" s="118" t="s">
        <v>191</v>
      </c>
      <c r="C13" s="149" t="s">
        <v>447</v>
      </c>
      <c r="D13" s="246" t="s">
        <v>193</v>
      </c>
      <c r="E13" s="246" t="s">
        <v>10</v>
      </c>
      <c r="F13" s="149" t="s">
        <v>448</v>
      </c>
      <c r="G13" s="149" t="s">
        <v>201</v>
      </c>
      <c r="H13" s="126" t="s">
        <v>202</v>
      </c>
      <c r="L13" s="248" t="s">
        <v>449</v>
      </c>
      <c r="V13" s="254" t="s">
        <v>450</v>
      </c>
    </row>
    <row r="14" spans="2:29">
      <c r="B14" s="336" t="s">
        <v>451</v>
      </c>
      <c r="C14" s="127" t="s">
        <v>452</v>
      </c>
      <c r="D14" s="242">
        <v>4520522.3202744704</v>
      </c>
      <c r="E14" t="s">
        <v>453</v>
      </c>
      <c r="F14" s="325">
        <v>2023</v>
      </c>
      <c r="G14" s="372" t="s">
        <v>454</v>
      </c>
      <c r="H14" s="316" t="s">
        <v>455</v>
      </c>
      <c r="L14" s="363" t="s">
        <v>456</v>
      </c>
      <c r="M14" s="364"/>
      <c r="N14" s="365"/>
      <c r="V14" s="89">
        <f>M252*VLOOKUP('Monetization factors'!C27,'Monetization factors'!$C$6:$I$28, 7,FALSE)*365.25/1000</f>
        <v>2.0992404621245373</v>
      </c>
      <c r="W14" s="89" t="s">
        <v>169</v>
      </c>
    </row>
    <row r="15" spans="2:29">
      <c r="B15" s="367"/>
      <c r="C15" s="148" t="s">
        <v>457</v>
      </c>
      <c r="D15" s="242">
        <v>4471213.4041293599</v>
      </c>
      <c r="E15" s="81" t="s">
        <v>453</v>
      </c>
      <c r="F15" s="326"/>
      <c r="G15" s="371"/>
      <c r="H15" s="339"/>
      <c r="L15" s="215" t="s">
        <v>458</v>
      </c>
      <c r="M15" s="216" t="s">
        <v>459</v>
      </c>
      <c r="N15" s="126" t="s">
        <v>460</v>
      </c>
      <c r="P15" s="1"/>
      <c r="Q15" s="1"/>
    </row>
    <row r="16" spans="2:29">
      <c r="B16" s="366" t="s">
        <v>461</v>
      </c>
      <c r="C16" s="147" t="s">
        <v>452</v>
      </c>
      <c r="D16" s="243">
        <v>16839.373068036599</v>
      </c>
      <c r="E16" s="130" t="s">
        <v>462</v>
      </c>
      <c r="F16" s="325">
        <v>2023</v>
      </c>
      <c r="G16" s="370" t="s">
        <v>454</v>
      </c>
      <c r="H16" s="315" t="s">
        <v>463</v>
      </c>
      <c r="L16" s="86">
        <f>B54</f>
        <v>0</v>
      </c>
      <c r="M16">
        <f>$D$17/$D$15*C54+$D$19/$D$15*D54+$D$21/$D$15*E54+$D$23/$D$15*F54</f>
        <v>0</v>
      </c>
      <c r="N16" s="80">
        <f>$D$16/$D$14*C54+$D$18/$D$14*D54+$D$20/$D$14*E54+$D$22/$D$14*F54</f>
        <v>0</v>
      </c>
    </row>
    <row r="17" spans="2:16">
      <c r="B17" s="367"/>
      <c r="C17" s="127" t="s">
        <v>457</v>
      </c>
      <c r="D17" s="244">
        <v>22818.289147979001</v>
      </c>
      <c r="E17" t="s">
        <v>462</v>
      </c>
      <c r="F17" s="326"/>
      <c r="G17" s="371"/>
      <c r="H17" s="339"/>
      <c r="L17" s="86">
        <f>B55</f>
        <v>1.1948815573468901</v>
      </c>
      <c r="M17">
        <f t="shared" ref="M17:M80" si="0">$D$17/$D$15*C55+$D$19/$D$15*D55+$D$21/$D$15*E55+$D$23/$D$15*F55</f>
        <v>3.0815426004839059E-5</v>
      </c>
      <c r="N17" s="80">
        <f t="shared" ref="N17:N80" si="1">$D$16/$D$14*C55+$D$18/$D$14*D55+$D$20/$D$14*E55+$D$22/$D$14*F55</f>
        <v>2.174777788319299E-5</v>
      </c>
    </row>
    <row r="18" spans="2:16">
      <c r="B18" s="366" t="s">
        <v>464</v>
      </c>
      <c r="C18" s="147" t="s">
        <v>452</v>
      </c>
      <c r="D18" s="243">
        <v>22375.206967857401</v>
      </c>
      <c r="E18" s="130" t="s">
        <v>462</v>
      </c>
      <c r="F18" s="325">
        <v>2023</v>
      </c>
      <c r="G18" s="370" t="s">
        <v>454</v>
      </c>
      <c r="H18" s="315" t="s">
        <v>463</v>
      </c>
      <c r="K18" s="240"/>
      <c r="L18" s="86">
        <f>B56</f>
        <v>2.3897631146937801</v>
      </c>
      <c r="M18">
        <f t="shared" si="0"/>
        <v>6.1262751428070033E-5</v>
      </c>
      <c r="N18" s="80">
        <f t="shared" si="1"/>
        <v>4.3235403098061076E-5</v>
      </c>
      <c r="P18" s="89"/>
    </row>
    <row r="19" spans="2:16">
      <c r="B19" s="367"/>
      <c r="C19" s="148" t="s">
        <v>457</v>
      </c>
      <c r="D19" s="245">
        <v>30564.879641126401</v>
      </c>
      <c r="E19" s="81" t="s">
        <v>462</v>
      </c>
      <c r="F19" s="326"/>
      <c r="G19" s="371"/>
      <c r="H19" s="339"/>
      <c r="L19" s="86">
        <f>B57</f>
        <v>3.5846446720406702</v>
      </c>
      <c r="M19">
        <f t="shared" si="0"/>
        <v>9.1386065487264966E-5</v>
      </c>
      <c r="N19" s="80">
        <f t="shared" si="1"/>
        <v>6.4494035409540354E-5</v>
      </c>
    </row>
    <row r="20" spans="2:16">
      <c r="B20" s="366" t="s">
        <v>465</v>
      </c>
      <c r="C20" s="127" t="s">
        <v>452</v>
      </c>
      <c r="D20" s="244">
        <v>51487.094905620601</v>
      </c>
      <c r="E20" t="s">
        <v>462</v>
      </c>
      <c r="F20" s="325">
        <v>2023</v>
      </c>
      <c r="G20" s="370" t="s">
        <v>454</v>
      </c>
      <c r="H20" s="315" t="s">
        <v>463</v>
      </c>
      <c r="L20" s="86">
        <f>B58</f>
        <v>4.7795262293875602</v>
      </c>
      <c r="M20">
        <f t="shared" si="0"/>
        <v>1.2122945739999551E-4</v>
      </c>
      <c r="N20" s="80">
        <f t="shared" si="1"/>
        <v>8.5554834582566523E-5</v>
      </c>
    </row>
    <row r="21" spans="2:16">
      <c r="B21" s="367"/>
      <c r="C21" s="127" t="s">
        <v>457</v>
      </c>
      <c r="D21" s="244">
        <v>87721.598208872994</v>
      </c>
      <c r="E21" t="s">
        <v>462</v>
      </c>
      <c r="F21" s="326"/>
      <c r="G21" s="371"/>
      <c r="H21" s="339"/>
      <c r="L21" s="86">
        <f>B59</f>
        <v>5.9744077867344503</v>
      </c>
      <c r="M21">
        <f t="shared" si="0"/>
        <v>1.5083701638383379E-4</v>
      </c>
      <c r="N21" s="80">
        <f t="shared" si="1"/>
        <v>1.0644896038207567E-4</v>
      </c>
    </row>
    <row r="22" spans="2:16">
      <c r="B22" s="366" t="s">
        <v>466</v>
      </c>
      <c r="C22" s="147" t="s">
        <v>452</v>
      </c>
      <c r="D22" s="243">
        <v>23936.115261644401</v>
      </c>
      <c r="E22" s="130" t="s">
        <v>462</v>
      </c>
      <c r="F22" s="325">
        <v>2023</v>
      </c>
      <c r="G22" s="370" t="s">
        <v>454</v>
      </c>
      <c r="H22" s="315" t="s">
        <v>463</v>
      </c>
      <c r="L22" s="86">
        <f>B60</f>
        <v>7.1692893440813403</v>
      </c>
      <c r="M22">
        <f t="shared" si="0"/>
        <v>1.8025283165635174E-4</v>
      </c>
      <c r="N22" s="80">
        <f t="shared" si="1"/>
        <v>1.2720757257300374E-4</v>
      </c>
    </row>
    <row r="23" spans="2:16">
      <c r="B23" s="336"/>
      <c r="C23" s="127" t="s">
        <v>457</v>
      </c>
      <c r="D23" s="244">
        <v>21532.227437193498</v>
      </c>
      <c r="E23" t="s">
        <v>462</v>
      </c>
      <c r="F23" s="334"/>
      <c r="G23" s="372"/>
      <c r="H23" s="316"/>
      <c r="L23" s="86">
        <f>B61</f>
        <v>8.3641709014282295</v>
      </c>
      <c r="M23">
        <f t="shared" si="0"/>
        <v>2.0952099243512097E-4</v>
      </c>
      <c r="N23" s="80">
        <f t="shared" si="1"/>
        <v>1.4786183092028649E-4</v>
      </c>
    </row>
    <row r="24" spans="2:16">
      <c r="B24" s="358" t="s">
        <v>467</v>
      </c>
      <c r="C24" s="147" t="s">
        <v>452</v>
      </c>
      <c r="D24" s="147">
        <v>43.3</v>
      </c>
      <c r="E24" s="130" t="s">
        <v>468</v>
      </c>
      <c r="F24" s="368">
        <v>2020</v>
      </c>
      <c r="G24" s="370" t="s">
        <v>469</v>
      </c>
      <c r="H24" s="315" t="s">
        <v>470</v>
      </c>
      <c r="L24" s="86">
        <f>B62</f>
        <v>9.5590524587751204</v>
      </c>
      <c r="M24">
        <f t="shared" si="0"/>
        <v>2.3868558793771352E-4</v>
      </c>
      <c r="N24" s="80">
        <f t="shared" si="1"/>
        <v>1.6844289518885995E-4</v>
      </c>
    </row>
    <row r="25" spans="2:16">
      <c r="B25" s="359"/>
      <c r="C25" s="148" t="s">
        <v>457</v>
      </c>
      <c r="D25" s="148">
        <v>52.5</v>
      </c>
      <c r="E25" s="81" t="s">
        <v>468</v>
      </c>
      <c r="F25" s="369"/>
      <c r="G25" s="371"/>
      <c r="H25" s="339"/>
      <c r="L25" s="86">
        <f>B63</f>
        <v>10.753934016122001</v>
      </c>
      <c r="M25">
        <f t="shared" si="0"/>
        <v>2.6779070738170135E-4</v>
      </c>
      <c r="N25" s="80">
        <f t="shared" si="1"/>
        <v>1.8898192514366004E-4</v>
      </c>
    </row>
    <row r="26" spans="2:16">
      <c r="B26" s="90" t="s">
        <v>92</v>
      </c>
      <c r="H26" s="241"/>
      <c r="L26" s="86">
        <f>B64</f>
        <v>11.948815573468901</v>
      </c>
      <c r="M26">
        <f t="shared" si="0"/>
        <v>2.9688043998465658E-4</v>
      </c>
      <c r="N26" s="80">
        <f t="shared" si="1"/>
        <v>2.0951008054962284E-4</v>
      </c>
    </row>
    <row r="27" spans="2:16">
      <c r="B27" s="76" t="s">
        <v>471</v>
      </c>
      <c r="G27" s="221"/>
      <c r="H27" s="241"/>
      <c r="I27" s="34"/>
      <c r="J27" s="34"/>
      <c r="K27" s="34"/>
      <c r="L27" s="86">
        <f>B65</f>
        <v>13.1436971308158</v>
      </c>
      <c r="M27">
        <f t="shared" si="0"/>
        <v>3.2599887496415064E-4</v>
      </c>
      <c r="N27" s="80">
        <f t="shared" si="1"/>
        <v>2.3005852117168396E-4</v>
      </c>
    </row>
    <row r="28" spans="2:16">
      <c r="B28" s="164" t="s">
        <v>472</v>
      </c>
      <c r="H28" s="225"/>
      <c r="I28" s="240"/>
      <c r="J28" s="240"/>
      <c r="K28" s="240"/>
      <c r="L28" s="86">
        <f>B66</f>
        <v>14.3385786881627</v>
      </c>
      <c r="M28">
        <f t="shared" si="0"/>
        <v>3.5519010153775533E-4</v>
      </c>
      <c r="N28" s="80">
        <f t="shared" si="1"/>
        <v>2.5065840677477934E-4</v>
      </c>
    </row>
    <row r="29" spans="2:16">
      <c r="B29" s="76" t="s">
        <v>473</v>
      </c>
      <c r="H29" s="225"/>
      <c r="L29" s="86">
        <f>B67</f>
        <v>15.5334602455096</v>
      </c>
      <c r="M29">
        <f t="shared" si="0"/>
        <v>3.8449820892304341E-4</v>
      </c>
      <c r="N29" s="80">
        <f t="shared" si="1"/>
        <v>2.7134089712384533E-4</v>
      </c>
    </row>
    <row r="30" spans="2:16">
      <c r="B30" s="164" t="s">
        <v>474</v>
      </c>
      <c r="L30" s="86">
        <f>B68</f>
        <v>16.728341802856502</v>
      </c>
      <c r="M30">
        <f t="shared" si="0"/>
        <v>4.1396728633758635E-4</v>
      </c>
      <c r="N30" s="80">
        <f t="shared" si="1"/>
        <v>2.9213715198381793E-4</v>
      </c>
    </row>
    <row r="31" spans="2:16">
      <c r="L31" s="86">
        <f>B69</f>
        <v>17.923223360203298</v>
      </c>
      <c r="M31">
        <f t="shared" si="0"/>
        <v>4.43641422998956E-4</v>
      </c>
      <c r="N31" s="80">
        <f t="shared" si="1"/>
        <v>3.1307833111963247E-4</v>
      </c>
    </row>
    <row r="32" spans="2:16">
      <c r="L32" s="86">
        <f>B70</f>
        <v>19.118104917550198</v>
      </c>
      <c r="M32">
        <f t="shared" si="0"/>
        <v>4.735647081247227E-4</v>
      </c>
      <c r="N32" s="80">
        <f t="shared" si="1"/>
        <v>3.3419559429622423E-4</v>
      </c>
    </row>
    <row r="33" spans="2:14">
      <c r="B33" s="252" t="s">
        <v>475</v>
      </c>
      <c r="L33" s="86">
        <f>B71</f>
        <v>20.312986474897102</v>
      </c>
      <c r="M33">
        <f t="shared" si="0"/>
        <v>5.0378123093246176E-4</v>
      </c>
      <c r="N33" s="80">
        <f t="shared" si="1"/>
        <v>3.5552010127853125E-4</v>
      </c>
    </row>
    <row r="34" spans="2:14">
      <c r="B34" s="115" t="s">
        <v>476</v>
      </c>
      <c r="C34" s="157" t="s">
        <v>477</v>
      </c>
      <c r="L34" s="86">
        <f>B72</f>
        <v>21.507868032244001</v>
      </c>
      <c r="M34">
        <f t="shared" si="0"/>
        <v>5.3433508063974058E-4</v>
      </c>
      <c r="N34" s="80">
        <f t="shared" si="1"/>
        <v>3.770830118314867E-4</v>
      </c>
    </row>
    <row r="35" spans="2:14">
      <c r="B35" s="117" t="s">
        <v>478</v>
      </c>
      <c r="C35" s="98">
        <v>27.7</v>
      </c>
      <c r="L35" s="86">
        <f>B73</f>
        <v>22.702749589590901</v>
      </c>
      <c r="M35">
        <f t="shared" si="0"/>
        <v>5.6527034646413504E-4</v>
      </c>
      <c r="N35" s="80">
        <f t="shared" si="1"/>
        <v>3.9891548572002899E-4</v>
      </c>
    </row>
    <row r="36" spans="2:14">
      <c r="B36" s="121" t="s">
        <v>479</v>
      </c>
      <c r="C36" s="80">
        <v>2.7</v>
      </c>
      <c r="L36" s="86">
        <f>B74</f>
        <v>23.897631146937801</v>
      </c>
      <c r="M36">
        <f t="shared" si="0"/>
        <v>5.9663111762321675E-4</v>
      </c>
      <c r="N36" s="80">
        <f t="shared" si="1"/>
        <v>4.2104868270909367E-4</v>
      </c>
    </row>
    <row r="37" spans="2:14">
      <c r="B37" s="121" t="s">
        <v>480</v>
      </c>
      <c r="C37" s="80">
        <v>0.3</v>
      </c>
      <c r="L37" s="86">
        <f t="shared" ref="L37:L100" si="2">B75</f>
        <v>25.092512704284701</v>
      </c>
      <c r="M37">
        <f t="shared" si="0"/>
        <v>6.2846148333455616E-4</v>
      </c>
      <c r="N37" s="80">
        <f t="shared" si="1"/>
        <v>4.4351376256361564E-4</v>
      </c>
    </row>
    <row r="38" spans="2:14">
      <c r="B38" s="121" t="s">
        <v>481</v>
      </c>
      <c r="C38" s="80">
        <v>2.4</v>
      </c>
      <c r="L38" s="86">
        <f t="shared" si="2"/>
        <v>26.287394261631601</v>
      </c>
      <c r="M38">
        <f t="shared" si="0"/>
        <v>6.6080553281572501E-4</v>
      </c>
      <c r="N38" s="80">
        <f t="shared" si="1"/>
        <v>4.6634188504853137E-4</v>
      </c>
    </row>
    <row r="39" spans="2:14">
      <c r="B39" s="121" t="s">
        <v>482</v>
      </c>
      <c r="C39" s="80">
        <v>1</v>
      </c>
      <c r="L39" s="86">
        <f t="shared" si="2"/>
        <v>27.482275818978501</v>
      </c>
      <c r="M39">
        <f t="shared" si="0"/>
        <v>6.9370735528429407E-4</v>
      </c>
      <c r="N39" s="80">
        <f t="shared" si="1"/>
        <v>4.8956420992877559E-4</v>
      </c>
    </row>
    <row r="40" spans="2:14" ht="15.95" customHeight="1">
      <c r="B40" s="121" t="s">
        <v>483</v>
      </c>
      <c r="C40" s="80">
        <v>12.1</v>
      </c>
      <c r="L40" s="86">
        <f t="shared" si="2"/>
        <v>28.677157376325301</v>
      </c>
      <c r="M40">
        <f t="shared" si="0"/>
        <v>7.2721103995783865E-4</v>
      </c>
      <c r="N40" s="80">
        <f t="shared" si="1"/>
        <v>5.1321189696928624E-4</v>
      </c>
    </row>
    <row r="41" spans="2:14" ht="15.75" customHeight="1">
      <c r="B41" s="116" t="s">
        <v>484</v>
      </c>
      <c r="C41" s="82">
        <v>9.1999999999999993</v>
      </c>
      <c r="L41" s="86">
        <f t="shared" si="2"/>
        <v>29.872038933672201</v>
      </c>
      <c r="M41">
        <f t="shared" si="0"/>
        <v>7.6136067605392973E-4</v>
      </c>
      <c r="N41" s="80">
        <f t="shared" si="1"/>
        <v>5.373161059349993E-4</v>
      </c>
    </row>
    <row r="42" spans="2:14" ht="15.75" customHeight="1">
      <c r="B42" s="90" t="s">
        <v>92</v>
      </c>
      <c r="L42" s="86">
        <f t="shared" si="2"/>
        <v>31.066920491019101</v>
      </c>
      <c r="M42">
        <f t="shared" si="0"/>
        <v>7.9620035279013603E-4</v>
      </c>
      <c r="N42" s="80">
        <f t="shared" si="1"/>
        <v>5.6190799659084777E-4</v>
      </c>
    </row>
    <row r="43" spans="2:14">
      <c r="B43" s="76" t="s">
        <v>485</v>
      </c>
      <c r="L43" s="86">
        <f t="shared" si="2"/>
        <v>32.261802048366</v>
      </c>
      <c r="M43">
        <f t="shared" si="0"/>
        <v>8.3177415938403372E-4</v>
      </c>
      <c r="N43" s="80">
        <f t="shared" si="1"/>
        <v>5.8701872870177104E-4</v>
      </c>
    </row>
    <row r="44" spans="2:14">
      <c r="B44" s="76" t="s">
        <v>486</v>
      </c>
      <c r="L44" s="86">
        <f t="shared" si="2"/>
        <v>33.456683605712897</v>
      </c>
      <c r="M44">
        <f t="shared" si="0"/>
        <v>8.6812618505319216E-4</v>
      </c>
      <c r="N44" s="80">
        <f t="shared" si="1"/>
        <v>6.1267946203270342E-4</v>
      </c>
    </row>
    <row r="45" spans="2:14">
      <c r="B45" s="164" t="s">
        <v>487</v>
      </c>
      <c r="L45" s="86">
        <f t="shared" si="2"/>
        <v>34.6515651630598</v>
      </c>
      <c r="M45">
        <f t="shared" si="0"/>
        <v>9.0977947016796759E-4</v>
      </c>
      <c r="N45" s="80">
        <f t="shared" si="1"/>
        <v>6.4209056026016508E-4</v>
      </c>
    </row>
    <row r="46" spans="2:14">
      <c r="L46" s="86">
        <f t="shared" si="2"/>
        <v>35.846446720406703</v>
      </c>
      <c r="M46">
        <f t="shared" si="0"/>
        <v>9.5393167181562254E-4</v>
      </c>
      <c r="N46" s="80">
        <f t="shared" si="1"/>
        <v>6.7324331745359186E-4</v>
      </c>
    </row>
    <row r="47" spans="2:14">
      <c r="L47" s="86">
        <f t="shared" si="2"/>
        <v>37.0413282777536</v>
      </c>
      <c r="M47">
        <f t="shared" si="0"/>
        <v>9.9917004984328745E-4</v>
      </c>
      <c r="N47" s="80">
        <f t="shared" si="1"/>
        <v>7.0513215674735058E-4</v>
      </c>
    </row>
    <row r="48" spans="2:14">
      <c r="L48" s="86">
        <f t="shared" si="2"/>
        <v>38.236209835100503</v>
      </c>
      <c r="M48">
        <f t="shared" si="0"/>
        <v>1.0457620798146714E-3</v>
      </c>
      <c r="N48" s="80">
        <f t="shared" si="1"/>
        <v>7.3794508385239752E-4</v>
      </c>
    </row>
    <row r="49" spans="2:14">
      <c r="L49" s="86">
        <f t="shared" si="2"/>
        <v>39.4310913924473</v>
      </c>
      <c r="M49">
        <f t="shared" si="0"/>
        <v>1.0935893114187444E-3</v>
      </c>
      <c r="N49" s="80">
        <f t="shared" si="1"/>
        <v>7.7159549451321393E-4</v>
      </c>
    </row>
    <row r="50" spans="2:14">
      <c r="B50" s="155" t="s">
        <v>488</v>
      </c>
      <c r="L50" s="86">
        <f t="shared" si="2"/>
        <v>40.625972949794203</v>
      </c>
      <c r="M50">
        <f t="shared" si="0"/>
        <v>1.1425424789848998E-3</v>
      </c>
      <c r="N50" s="80">
        <f t="shared" si="1"/>
        <v>8.0600355804799617E-4</v>
      </c>
    </row>
    <row r="51" spans="2:14">
      <c r="B51" t="s">
        <v>489</v>
      </c>
      <c r="L51" s="86">
        <f t="shared" si="2"/>
        <v>41.8208545071411</v>
      </c>
      <c r="M51">
        <f t="shared" si="0"/>
        <v>1.1925246611854984E-3</v>
      </c>
      <c r="N51" s="80">
        <f t="shared" si="1"/>
        <v>8.4109849148367351E-4</v>
      </c>
    </row>
    <row r="52" spans="2:14">
      <c r="B52" s="247" t="s">
        <v>490</v>
      </c>
      <c r="C52" s="344" t="s">
        <v>491</v>
      </c>
      <c r="D52" s="305"/>
      <c r="E52" s="305"/>
      <c r="F52" s="306"/>
      <c r="L52" s="86">
        <f t="shared" si="2"/>
        <v>43.015736064488003</v>
      </c>
      <c r="M52">
        <f t="shared" si="0"/>
        <v>1.2434392797362141E-3</v>
      </c>
      <c r="N52" s="80">
        <f t="shared" si="1"/>
        <v>8.7680979243708393E-4</v>
      </c>
    </row>
    <row r="53" spans="2:14" ht="30.75">
      <c r="B53" s="249" t="s">
        <v>492</v>
      </c>
      <c r="C53" s="250" t="s">
        <v>493</v>
      </c>
      <c r="D53" s="250" t="s">
        <v>494</v>
      </c>
      <c r="E53" s="250" t="s">
        <v>495</v>
      </c>
      <c r="F53" s="251" t="s">
        <v>496</v>
      </c>
      <c r="L53" s="86">
        <f t="shared" si="2"/>
        <v>44.210617621834899</v>
      </c>
      <c r="M53">
        <f t="shared" si="0"/>
        <v>1.2951726703990169E-3</v>
      </c>
      <c r="N53" s="80">
        <f t="shared" si="1"/>
        <v>9.1305460444414096E-4</v>
      </c>
    </row>
    <row r="54" spans="2:14">
      <c r="B54" s="289">
        <v>0</v>
      </c>
      <c r="C54" s="289">
        <v>0</v>
      </c>
      <c r="D54" s="289">
        <v>0</v>
      </c>
      <c r="E54" s="289">
        <v>0</v>
      </c>
      <c r="F54" s="287">
        <v>0</v>
      </c>
      <c r="L54" s="86">
        <f t="shared" si="2"/>
        <v>45.405499179181803</v>
      </c>
      <c r="M54">
        <f t="shared" si="0"/>
        <v>1.347624550439297E-3</v>
      </c>
      <c r="N54" s="80">
        <f t="shared" si="1"/>
        <v>9.4975992792125578E-4</v>
      </c>
    </row>
    <row r="55" spans="2:14">
      <c r="B55" s="289">
        <v>1.1948815573468901</v>
      </c>
      <c r="C55" s="289">
        <v>8.2164377070712902E-4</v>
      </c>
      <c r="D55" s="289">
        <v>1.1465774277668399E-3</v>
      </c>
      <c r="E55" s="289">
        <v>7.5052424678356702E-4</v>
      </c>
      <c r="F55" s="287">
        <v>8.4299932377255497E-4</v>
      </c>
      <c r="L55" s="86">
        <f t="shared" si="2"/>
        <v>46.600380736528699</v>
      </c>
      <c r="M55">
        <f t="shared" si="0"/>
        <v>1.4007077040274834E-3</v>
      </c>
      <c r="N55" s="80">
        <f t="shared" si="1"/>
        <v>9.8686235522732284E-4</v>
      </c>
    </row>
    <row r="56" spans="2:14">
      <c r="B56" s="289">
        <v>2.3897631146937801</v>
      </c>
      <c r="C56" s="289">
        <v>1.63341896104904E-3</v>
      </c>
      <c r="D56" s="289">
        <v>2.2790967453066098E-3</v>
      </c>
      <c r="E56" s="289">
        <v>1.4922205624086401E-3</v>
      </c>
      <c r="F56" s="287">
        <v>1.67593988991035E-3</v>
      </c>
      <c r="L56" s="86">
        <f t="shared" si="2"/>
        <v>47.795262293875602</v>
      </c>
      <c r="M56">
        <f t="shared" si="0"/>
        <v>1.4543366639295924E-3</v>
      </c>
      <c r="N56" s="80">
        <f t="shared" si="1"/>
        <v>1.0242998166820549E-3</v>
      </c>
    </row>
    <row r="57" spans="2:14">
      <c r="B57" s="289">
        <v>3.5846446720406702</v>
      </c>
      <c r="C57" s="289">
        <v>2.4365075794456899E-3</v>
      </c>
      <c r="D57" s="289">
        <v>3.3992417616416598E-3</v>
      </c>
      <c r="E57" s="289">
        <v>2.22614631162009E-3</v>
      </c>
      <c r="F57" s="287">
        <v>2.50002648530053E-3</v>
      </c>
      <c r="L57" s="86">
        <f t="shared" si="2"/>
        <v>48.990143851222498</v>
      </c>
      <c r="M57">
        <f t="shared" si="0"/>
        <v>1.5084135694418809E-3</v>
      </c>
      <c r="N57" s="80">
        <f t="shared" si="1"/>
        <v>1.0620014305302657E-3</v>
      </c>
    </row>
    <row r="58" spans="2:14">
      <c r="B58" s="289">
        <v>4.7795262293875602</v>
      </c>
      <c r="C58" s="289">
        <v>3.2320916343170198E-3</v>
      </c>
      <c r="D58" s="289">
        <v>4.5086962857943799E-3</v>
      </c>
      <c r="E58" s="289">
        <v>2.9533588591627701E-3</v>
      </c>
      <c r="F58" s="287">
        <v>3.31646389683018E-3</v>
      </c>
      <c r="L58" s="86">
        <f t="shared" si="2"/>
        <v>50.185025408569402</v>
      </c>
      <c r="M58">
        <f t="shared" si="0"/>
        <v>1.5628555356102837E-3</v>
      </c>
      <c r="N58" s="80">
        <f t="shared" si="1"/>
        <v>1.099907397411013E-3</v>
      </c>
    </row>
    <row r="59" spans="2:14">
      <c r="B59" s="289">
        <v>5.9744077867344503</v>
      </c>
      <c r="C59" s="289">
        <v>4.0213531340829696E-3</v>
      </c>
      <c r="D59" s="289">
        <v>5.6091441267871198E-3</v>
      </c>
      <c r="E59" s="289">
        <v>3.67491556978156E-3</v>
      </c>
      <c r="F59" s="287">
        <v>4.12645691138644E-3</v>
      </c>
      <c r="L59" s="86">
        <f t="shared" si="2"/>
        <v>51.379906965916199</v>
      </c>
      <c r="M59">
        <f t="shared" si="0"/>
        <v>1.6175911484712117E-3</v>
      </c>
      <c r="N59" s="80">
        <f t="shared" si="1"/>
        <v>1.1379663501487427E-3</v>
      </c>
    </row>
    <row r="60" spans="2:14">
      <c r="B60" s="289">
        <v>7.1692893440813403</v>
      </c>
      <c r="C60" s="289">
        <v>4.8054740871635001E-3</v>
      </c>
      <c r="D60" s="289">
        <v>6.7022690936422696E-3</v>
      </c>
      <c r="E60" s="289">
        <v>4.3918738082213199E-3</v>
      </c>
      <c r="F60" s="287">
        <v>4.9312103158564097E-3</v>
      </c>
      <c r="L60" s="86">
        <f t="shared" si="2"/>
        <v>52.574788523263102</v>
      </c>
      <c r="M60">
        <f t="shared" si="0"/>
        <v>1.672551295748653E-3</v>
      </c>
      <c r="N60" s="80">
        <f t="shared" si="1"/>
        <v>1.1761286919539189E-3</v>
      </c>
    </row>
    <row r="61" spans="2:14">
      <c r="B61" s="289">
        <v>8.3641709014282295</v>
      </c>
      <c r="C61" s="289">
        <v>5.5856365019785401E-3</v>
      </c>
      <c r="D61" s="289">
        <v>7.7897549953821902E-3</v>
      </c>
      <c r="E61" s="289">
        <v>5.1052909392269004E-3</v>
      </c>
      <c r="F61" s="287">
        <v>5.7319288971272196E-3</v>
      </c>
      <c r="L61" s="86">
        <f t="shared" si="2"/>
        <v>53.769670080609998</v>
      </c>
      <c r="M61">
        <f t="shared" si="0"/>
        <v>1.7276596581720413E-3</v>
      </c>
      <c r="N61" s="80">
        <f t="shared" si="1"/>
        <v>1.2143398218707076E-3</v>
      </c>
    </row>
    <row r="62" spans="2:14">
      <c r="B62" s="289">
        <v>9.5590524587751204</v>
      </c>
      <c r="C62" s="289">
        <v>6.3630223869480399E-3</v>
      </c>
      <c r="D62" s="289">
        <v>8.8732856410292504E-3</v>
      </c>
      <c r="E62" s="289">
        <v>5.8162243275431801E-3</v>
      </c>
      <c r="F62" s="287">
        <v>6.5298174420859801E-3</v>
      </c>
      <c r="L62" s="86">
        <f t="shared" si="2"/>
        <v>54.964551637956902</v>
      </c>
      <c r="M62">
        <f t="shared" si="0"/>
        <v>1.7828527533580998E-3</v>
      </c>
      <c r="N62" s="80">
        <f t="shared" si="1"/>
        <v>1.2525547284892341E-3</v>
      </c>
    </row>
    <row r="63" spans="2:14">
      <c r="B63" s="289">
        <v>10.753934016122001</v>
      </c>
      <c r="C63" s="289">
        <v>7.1388137504919498E-3</v>
      </c>
      <c r="D63" s="289">
        <v>9.9545448396058198E-3</v>
      </c>
      <c r="E63" s="289">
        <v>6.5257313379150196E-3</v>
      </c>
      <c r="F63" s="287">
        <v>7.3260807376198103E-3</v>
      </c>
      <c r="L63" s="86">
        <f t="shared" si="2"/>
        <v>56.159433195303798</v>
      </c>
      <c r="M63">
        <f t="shared" si="0"/>
        <v>1.8380770540722059E-3</v>
      </c>
      <c r="N63" s="80">
        <f t="shared" si="1"/>
        <v>1.2907356263386727E-3</v>
      </c>
    </row>
    <row r="64" spans="2:14">
      <c r="B64" s="289">
        <v>11.948815573468901</v>
      </c>
      <c r="C64" s="289">
        <v>7.9141926010302208E-3</v>
      </c>
      <c r="D64" s="289">
        <v>1.1035216400134299E-2</v>
      </c>
      <c r="E64" s="289">
        <v>7.2348693350872901E-3</v>
      </c>
      <c r="F64" s="287">
        <v>8.1219235706158199E-3</v>
      </c>
      <c r="L64" s="86">
        <f t="shared" si="2"/>
        <v>57.354314752650701</v>
      </c>
      <c r="M64">
        <f t="shared" si="0"/>
        <v>1.8932815538313229E-3</v>
      </c>
      <c r="N64" s="80">
        <f t="shared" si="1"/>
        <v>1.3288466567243297E-3</v>
      </c>
    </row>
    <row r="65" spans="2:14">
      <c r="B65" s="289">
        <v>13.1436971308158</v>
      </c>
      <c r="C65" s="289">
        <v>8.6903409469827799E-3</v>
      </c>
      <c r="D65" s="289">
        <v>1.2116984131637001E-2</v>
      </c>
      <c r="E65" s="289">
        <v>7.9446956838048494E-3</v>
      </c>
      <c r="F65" s="287">
        <v>8.9185507279611297E-3</v>
      </c>
      <c r="L65" s="86">
        <f t="shared" si="2"/>
        <v>58.549196309997598</v>
      </c>
      <c r="M65">
        <f t="shared" si="0"/>
        <v>1.9484096772599969E-3</v>
      </c>
      <c r="N65" s="80">
        <f t="shared" si="1"/>
        <v>1.3668483734969115E-3</v>
      </c>
    </row>
    <row r="66" spans="2:14">
      <c r="B66" s="289">
        <v>14.3385786881627</v>
      </c>
      <c r="C66" s="289">
        <v>9.4684407967695894E-3</v>
      </c>
      <c r="D66" s="289">
        <v>1.3201531843136299E-2</v>
      </c>
      <c r="E66" s="289">
        <v>8.6562677488125593E-3</v>
      </c>
      <c r="F66" s="287">
        <v>9.7171669965428701E-3</v>
      </c>
      <c r="L66" s="86">
        <f t="shared" si="2"/>
        <v>59.744077867344501</v>
      </c>
      <c r="M66">
        <f t="shared" si="0"/>
        <v>2.0034171460544797E-3</v>
      </c>
      <c r="N66" s="80">
        <f t="shared" si="1"/>
        <v>1.4047102788769766E-3</v>
      </c>
    </row>
    <row r="67" spans="2:14">
      <c r="B67" s="289">
        <v>15.5334602455096</v>
      </c>
      <c r="C67" s="289">
        <v>1.02496741588106E-2</v>
      </c>
      <c r="D67" s="289">
        <v>1.4290543343654699E-2</v>
      </c>
      <c r="E67" s="289">
        <v>9.3706428948552804E-3</v>
      </c>
      <c r="F67" s="287">
        <v>1.05189771632481E-2</v>
      </c>
      <c r="L67" s="86">
        <f t="shared" si="2"/>
        <v>60.938959424691397</v>
      </c>
      <c r="M67">
        <f t="shared" si="0"/>
        <v>2.0582664023456473E-3</v>
      </c>
      <c r="N67" s="80">
        <f t="shared" si="1"/>
        <v>1.4424067113962226E-3</v>
      </c>
    </row>
    <row r="68" spans="2:14">
      <c r="B68" s="289">
        <v>16.728341802856502</v>
      </c>
      <c r="C68" s="289">
        <v>1.10352230415257E-2</v>
      </c>
      <c r="D68" s="289">
        <v>1.53857024422144E-2</v>
      </c>
      <c r="E68" s="289">
        <v>1.00888784866779E-2</v>
      </c>
      <c r="F68" s="287">
        <v>1.13251860149641E-2</v>
      </c>
      <c r="L68" s="86">
        <f t="shared" si="2"/>
        <v>62.133840982038301</v>
      </c>
      <c r="M68">
        <f t="shared" si="0"/>
        <v>2.1129218720640475E-3</v>
      </c>
      <c r="N68" s="80">
        <f t="shared" si="1"/>
        <v>1.4799135443590704E-3</v>
      </c>
    </row>
    <row r="69" spans="2:14">
      <c r="B69" s="289">
        <v>17.923223360203298</v>
      </c>
      <c r="C69" s="289">
        <v>1.1826269453334899E-2</v>
      </c>
      <c r="D69" s="289">
        <v>1.6488692947837801E-2</v>
      </c>
      <c r="E69" s="289">
        <v>1.0812031889025299E-2</v>
      </c>
      <c r="F69" s="287">
        <v>1.2136998338577801E-2</v>
      </c>
      <c r="L69" s="86">
        <f t="shared" si="2"/>
        <v>63.328722539385097</v>
      </c>
      <c r="M69">
        <f t="shared" si="0"/>
        <v>2.1673463190184749E-3</v>
      </c>
      <c r="N69" s="80">
        <f t="shared" si="1"/>
        <v>1.5172059086538919E-3</v>
      </c>
    </row>
    <row r="70" spans="2:14">
      <c r="B70" s="289">
        <v>19.118104917550198</v>
      </c>
      <c r="C70" s="289">
        <v>1.2623995402658199E-2</v>
      </c>
      <c r="D70" s="289">
        <v>1.7601198669547399E-2</v>
      </c>
      <c r="E70" s="289">
        <v>1.1541160466642201E-2</v>
      </c>
      <c r="F70" s="287">
        <v>1.2955618920976301E-2</v>
      </c>
      <c r="L70" s="86">
        <f t="shared" si="2"/>
        <v>64.523604096732001</v>
      </c>
      <c r="M70">
        <f t="shared" si="0"/>
        <v>2.2215084032045332E-3</v>
      </c>
      <c r="N70" s="80">
        <f t="shared" si="1"/>
        <v>1.5542633800237023E-3</v>
      </c>
    </row>
    <row r="71" spans="2:14">
      <c r="B71" s="289">
        <v>20.312986474897102</v>
      </c>
      <c r="C71" s="289">
        <v>1.3429582897915401E-2</v>
      </c>
      <c r="D71" s="289">
        <v>1.8724903416365402E-2</v>
      </c>
      <c r="E71" s="289">
        <v>1.22773215842737E-2</v>
      </c>
      <c r="F71" s="287">
        <v>1.37822525490469E-2</v>
      </c>
      <c r="L71" s="86">
        <f t="shared" si="2"/>
        <v>65.718485654078904</v>
      </c>
      <c r="M71">
        <f t="shared" si="0"/>
        <v>2.2753819694779245E-3</v>
      </c>
      <c r="N71" s="80">
        <f t="shared" si="1"/>
        <v>1.5910691743257674E-3</v>
      </c>
    </row>
    <row r="72" spans="2:14">
      <c r="B72" s="289">
        <v>21.507868032244001</v>
      </c>
      <c r="C72" s="289">
        <v>1.42442139475265E-2</v>
      </c>
      <c r="D72" s="289">
        <v>1.98614909973143E-2</v>
      </c>
      <c r="E72" s="289">
        <v>1.30215726066644E-2</v>
      </c>
      <c r="F72" s="287">
        <v>1.46181040096766E-2</v>
      </c>
      <c r="L72" s="86">
        <f t="shared" si="2"/>
        <v>66.913367211425793</v>
      </c>
      <c r="M72">
        <f t="shared" si="0"/>
        <v>2.3289424489654469E-3</v>
      </c>
      <c r="N72" s="80">
        <f t="shared" si="1"/>
        <v>1.6276077514659367E-3</v>
      </c>
    </row>
    <row r="73" spans="2:14">
      <c r="B73" s="289">
        <v>22.702749589590901</v>
      </c>
      <c r="C73" s="289">
        <v>1.5069070559911499E-2</v>
      </c>
      <c r="D73" s="289">
        <v>2.1012645221416298E-2</v>
      </c>
      <c r="E73" s="289">
        <v>1.37749708985594E-2</v>
      </c>
      <c r="F73" s="287">
        <v>1.54643780897526E-2</v>
      </c>
      <c r="L73" s="86">
        <f t="shared" si="2"/>
        <v>68.108248768772697</v>
      </c>
      <c r="M73">
        <f t="shared" si="0"/>
        <v>2.3821639277044229E-3</v>
      </c>
      <c r="N73" s="80">
        <f t="shared" si="1"/>
        <v>1.663863139367075E-3</v>
      </c>
    </row>
    <row r="74" spans="2:14">
      <c r="B74" s="289">
        <v>23.897631146937801</v>
      </c>
      <c r="C74" s="289">
        <v>1.5905334743490301E-2</v>
      </c>
      <c r="D74" s="289">
        <v>2.2180049897693999E-2</v>
      </c>
      <c r="E74" s="289">
        <v>1.4538573824703501E-2</v>
      </c>
      <c r="F74" s="287">
        <v>1.6322279576161901E-2</v>
      </c>
      <c r="L74" s="86">
        <f t="shared" si="2"/>
        <v>69.3031303261196</v>
      </c>
      <c r="M74">
        <f t="shared" si="0"/>
        <v>2.435026483319992E-3</v>
      </c>
      <c r="N74" s="80">
        <f t="shared" si="1"/>
        <v>1.6998235036249081E-3</v>
      </c>
    </row>
    <row r="75" spans="2:14">
      <c r="B75" s="289">
        <v>25.092512704284701</v>
      </c>
      <c r="C75" s="289">
        <v>1.67541885066829E-2</v>
      </c>
      <c r="D75" s="289">
        <v>2.3365388835169702E-2</v>
      </c>
      <c r="E75" s="289">
        <v>1.53134387498415E-2</v>
      </c>
      <c r="F75" s="287">
        <v>1.71930132557916E-2</v>
      </c>
      <c r="L75" s="86">
        <f t="shared" si="2"/>
        <v>70.498011883466503</v>
      </c>
      <c r="M75">
        <f t="shared" si="0"/>
        <v>2.4875132719686284E-3</v>
      </c>
      <c r="N75" s="80">
        <f t="shared" si="1"/>
        <v>1.7354791101059355E-3</v>
      </c>
    </row>
    <row r="76" spans="2:14">
      <c r="B76" s="289">
        <v>26.287394261631601</v>
      </c>
      <c r="C76" s="289">
        <v>1.76168138579091E-2</v>
      </c>
      <c r="D76" s="289">
        <v>2.4570345842865701E-2</v>
      </c>
      <c r="E76" s="289">
        <v>1.6100623038718301E-2</v>
      </c>
      <c r="F76" s="287">
        <v>1.8077783915529E-2</v>
      </c>
      <c r="L76" s="86">
        <f t="shared" si="2"/>
        <v>71.692893440813407</v>
      </c>
      <c r="M76">
        <f t="shared" si="0"/>
        <v>2.5396084050249624E-3</v>
      </c>
      <c r="N76" s="80">
        <f t="shared" si="1"/>
        <v>1.7708210106221975E-3</v>
      </c>
    </row>
    <row r="77" spans="2:14">
      <c r="B77" s="289">
        <v>27.482275818978501</v>
      </c>
      <c r="C77" s="289">
        <v>1.8494392805589E-2</v>
      </c>
      <c r="D77" s="289">
        <v>2.5796604729804301E-2</v>
      </c>
      <c r="E77" s="289">
        <v>1.69011840560787E-2</v>
      </c>
      <c r="F77" s="287">
        <v>1.89777963422611E-2</v>
      </c>
      <c r="L77" s="86">
        <f t="shared" si="2"/>
        <v>72.887774998160296</v>
      </c>
      <c r="M77">
        <f t="shared" si="0"/>
        <v>2.5912939092610486E-3</v>
      </c>
      <c r="N77" s="80">
        <f t="shared" si="1"/>
        <v>1.8058394188429946E-3</v>
      </c>
    </row>
    <row r="78" spans="2:14">
      <c r="B78" s="289">
        <v>28.677157376325301</v>
      </c>
      <c r="C78" s="289">
        <v>1.93881073581425E-2</v>
      </c>
      <c r="D78" s="289">
        <v>2.7045849305008099E-2</v>
      </c>
      <c r="E78" s="289">
        <v>1.7716179166667699E-2</v>
      </c>
      <c r="F78" s="287">
        <v>1.98942553228749E-2</v>
      </c>
      <c r="L78" s="86">
        <f t="shared" si="2"/>
        <v>74.0826565555071</v>
      </c>
      <c r="M78">
        <f t="shared" si="0"/>
        <v>2.6425563377478413E-3</v>
      </c>
      <c r="N78" s="80">
        <f t="shared" si="1"/>
        <v>1.8405274456545649E-3</v>
      </c>
    </row>
    <row r="79" spans="2:14">
      <c r="B79" s="289">
        <v>29.872038933672201</v>
      </c>
      <c r="C79" s="289">
        <v>2.0299139523989599E-2</v>
      </c>
      <c r="D79" s="289">
        <v>2.83197633774993E-2</v>
      </c>
      <c r="E79" s="289">
        <v>1.8546665735230099E-2</v>
      </c>
      <c r="F79" s="287">
        <v>2.0828365644257801E-2</v>
      </c>
      <c r="L79" s="86">
        <f t="shared" si="2"/>
        <v>75.277538112854003</v>
      </c>
      <c r="M79">
        <f t="shared" si="0"/>
        <v>2.6933841366904103E-3</v>
      </c>
      <c r="N79" s="80">
        <f t="shared" si="1"/>
        <v>1.8748793835295242E-3</v>
      </c>
    </row>
    <row r="80" spans="2:14">
      <c r="B80" s="289">
        <v>31.066920491019101</v>
      </c>
      <c r="C80" s="289">
        <v>2.1228671311550099E-2</v>
      </c>
      <c r="D80" s="289">
        <v>2.9620030756300299E-2</v>
      </c>
      <c r="E80" s="289">
        <v>1.9393701126510701E-2</v>
      </c>
      <c r="F80" s="287">
        <v>2.17813320932966E-2</v>
      </c>
      <c r="L80" s="86">
        <f t="shared" si="2"/>
        <v>76.472419670200907</v>
      </c>
      <c r="M80">
        <f t="shared" si="0"/>
        <v>2.7437663598838522E-3</v>
      </c>
      <c r="N80" s="80">
        <f>$D$16/$D$14*C118+$D$18/$D$14*D118+$D$20/$D$14*E118+$D$22/$D$14*F118</f>
        <v>1.9088900228498593E-3</v>
      </c>
    </row>
    <row r="81" spans="2:14">
      <c r="B81" s="289">
        <v>32.261802048366</v>
      </c>
      <c r="C81" s="289">
        <v>2.2177884729244E-2</v>
      </c>
      <c r="D81" s="289">
        <v>3.0948335250433501E-2</v>
      </c>
      <c r="E81" s="289">
        <v>2.0258342705254499E-2</v>
      </c>
      <c r="F81" s="287">
        <v>2.27543594568787E-2</v>
      </c>
      <c r="L81" s="86">
        <f t="shared" si="2"/>
        <v>77.667301227547796</v>
      </c>
      <c r="M81">
        <f t="shared" ref="M81:M144" si="3">$D$17/$D$15*C119+$D$19/$D$15*D119+$D$21/$D$15*E119+$D$23/$D$15*F119</f>
        <v>2.7936916805714643E-3</v>
      </c>
      <c r="N81" s="80">
        <f t="shared" ref="N81:N144" si="4">$D$16/$D$14*C119+$D$18/$D$14*D119+$D$20/$D$14*E119+$D$22/$D$14*F119</f>
        <v>1.9425544158062638E-3</v>
      </c>
    </row>
    <row r="82" spans="2:14">
      <c r="B82" s="289">
        <v>33.456683605712897</v>
      </c>
      <c r="C82" s="289">
        <v>2.3147961785491399E-2</v>
      </c>
      <c r="D82" s="289">
        <v>3.23063606689213E-2</v>
      </c>
      <c r="E82" s="289">
        <v>2.1141647836206201E-2</v>
      </c>
      <c r="F82" s="287">
        <v>2.3748652521891098E-2</v>
      </c>
      <c r="L82" s="86">
        <f t="shared" si="2"/>
        <v>78.862182784894699</v>
      </c>
      <c r="M82">
        <f t="shared" si="3"/>
        <v>2.8431512531850956E-3</v>
      </c>
      <c r="N82" s="80">
        <f t="shared" si="4"/>
        <v>1.9758690099810914E-3</v>
      </c>
    </row>
    <row r="83" spans="2:14">
      <c r="B83" s="289">
        <v>34.6515651630598</v>
      </c>
      <c r="C83" s="289">
        <v>2.4259829749981501E-2</v>
      </c>
      <c r="D83" s="289">
        <v>3.3868666134628099E-2</v>
      </c>
      <c r="E83" s="289">
        <v>2.2151325999908801E-2</v>
      </c>
      <c r="F83" s="287">
        <v>2.48886897695982E-2</v>
      </c>
      <c r="L83" s="86">
        <f t="shared" si="2"/>
        <v>80.057064342241603</v>
      </c>
      <c r="M83">
        <f t="shared" si="3"/>
        <v>2.8921371634182524E-3</v>
      </c>
      <c r="N83" s="80">
        <f t="shared" si="4"/>
        <v>2.0088307481231035E-3</v>
      </c>
    </row>
    <row r="84" spans="2:14">
      <c r="B84" s="289">
        <v>35.846446720406703</v>
      </c>
      <c r="C84" s="289">
        <v>2.5440861413643202E-2</v>
      </c>
      <c r="D84" s="289">
        <v>3.5514442379237898E-2</v>
      </c>
      <c r="E84" s="289">
        <v>2.32259480624127E-2</v>
      </c>
      <c r="F84" s="287">
        <v>2.6091272098059799E-2</v>
      </c>
      <c r="L84" s="86">
        <f t="shared" si="2"/>
        <v>81.251945899588506</v>
      </c>
      <c r="M84">
        <f t="shared" si="3"/>
        <v>2.9406416839911267E-3</v>
      </c>
      <c r="N84" s="80">
        <f t="shared" si="4"/>
        <v>2.0414367681067039E-3</v>
      </c>
    </row>
    <row r="85" spans="2:14">
      <c r="B85" s="289">
        <v>37.0413282777536</v>
      </c>
      <c r="C85" s="289">
        <v>2.6653866180201002E-2</v>
      </c>
      <c r="D85" s="289">
        <v>3.7186546439108403E-2</v>
      </c>
      <c r="E85" s="289">
        <v>2.4333010703729101E-2</v>
      </c>
      <c r="F85" s="287">
        <v>2.7315984462031501E-2</v>
      </c>
      <c r="L85" s="86">
        <f t="shared" si="2"/>
        <v>82.446827456935395</v>
      </c>
      <c r="M85">
        <f t="shared" si="3"/>
        <v>2.988657012472232E-3</v>
      </c>
      <c r="N85" s="80">
        <f t="shared" si="4"/>
        <v>2.0736845965972396E-3</v>
      </c>
    </row>
    <row r="86" spans="2:14">
      <c r="B86" s="289">
        <v>38.236209835100503</v>
      </c>
      <c r="C86" s="289">
        <v>2.7906178287870401E-2</v>
      </c>
      <c r="D86" s="289">
        <v>3.8895115846221399E-2</v>
      </c>
      <c r="E86" s="289">
        <v>2.5479019174904801E-2</v>
      </c>
      <c r="F86" s="287">
        <v>2.85697040921402E-2</v>
      </c>
      <c r="L86" s="86">
        <f t="shared" si="2"/>
        <v>83.641709014282299</v>
      </c>
      <c r="M86">
        <f t="shared" si="3"/>
        <v>3.0361774746412175E-3</v>
      </c>
      <c r="N86" s="80">
        <f t="shared" si="4"/>
        <v>2.1055727769337309E-3</v>
      </c>
    </row>
    <row r="87" spans="2:14">
      <c r="B87" s="289">
        <v>39.4310913924473</v>
      </c>
      <c r="C87" s="289">
        <v>2.9194958712700898E-2</v>
      </c>
      <c r="D87" s="289">
        <v>4.0634697855921699E-2</v>
      </c>
      <c r="E87" s="289">
        <v>2.6661588441172699E-2</v>
      </c>
      <c r="F87" s="287">
        <v>2.9848299813215701E-2</v>
      </c>
      <c r="L87" s="86">
        <f t="shared" si="2"/>
        <v>84.836590571629102</v>
      </c>
      <c r="M87">
        <f t="shared" si="3"/>
        <v>3.0831978961082178E-3</v>
      </c>
      <c r="N87" s="80">
        <f t="shared" si="4"/>
        <v>2.1371000228166564E-3</v>
      </c>
    </row>
    <row r="88" spans="2:14">
      <c r="B88" s="289">
        <v>40.625972949794203</v>
      </c>
      <c r="C88" s="289">
        <v>3.0517590523028999E-2</v>
      </c>
      <c r="D88" s="289">
        <v>4.2400266030478501E-2</v>
      </c>
      <c r="E88" s="289">
        <v>2.7878511435367799E-2</v>
      </c>
      <c r="F88" s="287">
        <v>3.11479821285813E-2</v>
      </c>
      <c r="L88" s="86">
        <f t="shared" si="2"/>
        <v>86.031472128976006</v>
      </c>
      <c r="M88">
        <f t="shared" si="3"/>
        <v>3.1297131965621985E-3</v>
      </c>
      <c r="N88" s="80">
        <f t="shared" si="4"/>
        <v>2.1682651433970316E-3</v>
      </c>
    </row>
    <row r="89" spans="2:14">
      <c r="B89" s="289">
        <v>41.8208545071411</v>
      </c>
      <c r="C89" s="289">
        <v>3.1871738967831E-2</v>
      </c>
      <c r="D89" s="289">
        <v>4.4187361538615598E-2</v>
      </c>
      <c r="E89" s="289">
        <v>2.9127830166429301E-2</v>
      </c>
      <c r="F89" s="287">
        <v>3.2465405394173003E-2</v>
      </c>
      <c r="L89" s="86">
        <f t="shared" si="2"/>
        <v>87.226353686322895</v>
      </c>
      <c r="M89">
        <f t="shared" si="3"/>
        <v>3.1757192183976238E-3</v>
      </c>
      <c r="N89" s="80">
        <f t="shared" si="4"/>
        <v>2.1990678596527278E-3</v>
      </c>
    </row>
    <row r="90" spans="2:14">
      <c r="B90" s="289">
        <v>43.015736064488003</v>
      </c>
      <c r="C90" s="289">
        <v>3.3255069274792298E-2</v>
      </c>
      <c r="D90" s="289">
        <v>4.5991543646429899E-2</v>
      </c>
      <c r="E90" s="289">
        <v>3.0407591572069501E-2</v>
      </c>
      <c r="F90" s="287">
        <v>3.3797249453387301E-2</v>
      </c>
      <c r="L90" s="86">
        <f t="shared" si="2"/>
        <v>88.421235243669798</v>
      </c>
      <c r="M90">
        <f t="shared" si="3"/>
        <v>3.2212118779759579E-3</v>
      </c>
      <c r="N90" s="80">
        <f t="shared" si="4"/>
        <v>2.2295076161562145E-3</v>
      </c>
    </row>
    <row r="91" spans="2:14">
      <c r="B91" s="289">
        <v>44.210617621834899</v>
      </c>
      <c r="C91" s="289">
        <v>3.46648160416579E-2</v>
      </c>
      <c r="D91" s="289">
        <v>4.7807604400913702E-2</v>
      </c>
      <c r="E91" s="289">
        <v>3.1715484026549702E-2</v>
      </c>
      <c r="F91" s="287">
        <v>3.5139652404081997E-2</v>
      </c>
      <c r="L91" s="86">
        <f t="shared" si="2"/>
        <v>89.616116801016702</v>
      </c>
      <c r="M91">
        <f t="shared" si="3"/>
        <v>3.2661880965920357E-3</v>
      </c>
      <c r="N91" s="80">
        <f t="shared" si="4"/>
        <v>2.2595842999424518E-3</v>
      </c>
    </row>
    <row r="92" spans="2:14">
      <c r="B92" s="289">
        <v>45.405499179181803</v>
      </c>
      <c r="C92" s="289">
        <v>3.6098516794578699E-2</v>
      </c>
      <c r="D92" s="289">
        <v>4.9630971514594301E-2</v>
      </c>
      <c r="E92" s="289">
        <v>3.30494565098884E-2</v>
      </c>
      <c r="F92" s="287">
        <v>3.6489245997427699E-2</v>
      </c>
      <c r="L92" s="86">
        <f t="shared" si="2"/>
        <v>90.810998358363605</v>
      </c>
      <c r="M92">
        <f t="shared" si="3"/>
        <v>3.310645292014918E-3</v>
      </c>
      <c r="N92" s="80">
        <f t="shared" si="4"/>
        <v>2.2892981023242042E-3</v>
      </c>
    </row>
    <row r="93" spans="2:14">
      <c r="B93" s="289">
        <v>46.600380736528699</v>
      </c>
      <c r="C93" s="289">
        <v>3.7554017243602703E-2</v>
      </c>
      <c r="D93" s="289">
        <v>5.1457684441152701E-2</v>
      </c>
      <c r="E93" s="289">
        <v>3.4407715712716801E-2</v>
      </c>
      <c r="F93" s="287">
        <v>3.7843130496742997E-2</v>
      </c>
      <c r="L93" s="86">
        <f t="shared" si="2"/>
        <v>92.005879915710494</v>
      </c>
      <c r="M93">
        <f t="shared" si="3"/>
        <v>3.3545811169774574E-3</v>
      </c>
      <c r="N93" s="80">
        <f t="shared" si="4"/>
        <v>2.3186496459602331E-3</v>
      </c>
    </row>
    <row r="94" spans="2:14">
      <c r="B94" s="289">
        <v>47.795262293875602</v>
      </c>
      <c r="C94" s="289">
        <v>3.90291987937001E-2</v>
      </c>
      <c r="D94" s="289">
        <v>5.3283876360622602E-2</v>
      </c>
      <c r="E94" s="289">
        <v>3.5788495508188398E-2</v>
      </c>
      <c r="F94" s="287">
        <v>3.9198487653339102E-2</v>
      </c>
      <c r="L94" s="86">
        <f t="shared" si="2"/>
        <v>93.200761473057398</v>
      </c>
      <c r="M94">
        <f t="shared" si="3"/>
        <v>3.3979943032078396E-3</v>
      </c>
      <c r="N94" s="80">
        <f t="shared" si="4"/>
        <v>2.3476398297825043E-3</v>
      </c>
    </row>
    <row r="95" spans="2:14">
      <c r="B95" s="289">
        <v>48.990143851222498</v>
      </c>
      <c r="C95" s="289">
        <v>4.0521638904364103E-2</v>
      </c>
      <c r="D95" s="289">
        <v>5.5105162650847403E-2</v>
      </c>
      <c r="E95" s="289">
        <v>3.7189743724011501E-2</v>
      </c>
      <c r="F95" s="287">
        <v>4.0552148144439602E-2</v>
      </c>
      <c r="L95" s="86">
        <f t="shared" si="2"/>
        <v>94.395643030404301</v>
      </c>
      <c r="M95">
        <f t="shared" si="3"/>
        <v>3.4408840738989659E-3</v>
      </c>
      <c r="N95" s="80">
        <f t="shared" si="4"/>
        <v>2.3762696963771594E-3</v>
      </c>
    </row>
    <row r="96" spans="2:14">
      <c r="B96" s="289">
        <v>50.185025408569402</v>
      </c>
      <c r="C96" s="289">
        <v>4.20292552319304E-2</v>
      </c>
      <c r="D96" s="289">
        <v>5.6917905688875801E-2</v>
      </c>
      <c r="E96" s="289">
        <v>3.8609685622612203E-2</v>
      </c>
      <c r="F96" s="287">
        <v>4.1901501256690697E-2</v>
      </c>
      <c r="L96" s="86">
        <f>B134</f>
        <v>95.590524587751204</v>
      </c>
      <c r="M96">
        <f t="shared" si="3"/>
        <v>3.4832500139386031E-3</v>
      </c>
      <c r="N96" s="80">
        <f t="shared" si="4"/>
        <v>2.4045404966409165E-3</v>
      </c>
    </row>
    <row r="97" spans="2:14">
      <c r="B97" s="289">
        <v>51.379906965916199</v>
      </c>
      <c r="C97" s="289">
        <v>4.35502455684302E-2</v>
      </c>
      <c r="D97" s="289">
        <v>5.8719022631280197E-2</v>
      </c>
      <c r="E97" s="289">
        <v>4.00467652965351E-2</v>
      </c>
      <c r="F97" s="287">
        <v>4.32443423718347E-2</v>
      </c>
      <c r="L97" s="86">
        <f t="shared" si="2"/>
        <v>96.785406145097994</v>
      </c>
      <c r="M97">
        <f t="shared" si="3"/>
        <v>3.5250924768313596E-3</v>
      </c>
      <c r="N97" s="80">
        <f t="shared" si="4"/>
        <v>2.4324541687211505E-3</v>
      </c>
    </row>
    <row r="98" spans="2:14">
      <c r="B98" s="289">
        <v>52.574788523263102</v>
      </c>
      <c r="C98" s="289">
        <v>4.5082859974834501E-2</v>
      </c>
      <c r="D98" s="289">
        <v>6.0505567482154798E-2</v>
      </c>
      <c r="E98" s="289">
        <v>4.1499457338089497E-2</v>
      </c>
      <c r="F98" s="287">
        <v>4.4578570921807399E-2</v>
      </c>
      <c r="L98" s="86">
        <f t="shared" si="2"/>
        <v>97.980287702444897</v>
      </c>
      <c r="M98">
        <f t="shared" si="3"/>
        <v>3.5664124480421474E-3</v>
      </c>
      <c r="N98" s="80">
        <f t="shared" si="4"/>
        <v>2.4600126734944886E-3</v>
      </c>
    </row>
    <row r="99" spans="2:14">
      <c r="B99" s="289">
        <v>53.769670080609998</v>
      </c>
      <c r="C99" s="289">
        <v>4.6625174149218698E-2</v>
      </c>
      <c r="D99" s="289">
        <v>6.22743371961837E-2</v>
      </c>
      <c r="E99" s="289">
        <v>4.2966046647266901E-2</v>
      </c>
      <c r="F99" s="287">
        <v>4.5901912248328798E-2</v>
      </c>
      <c r="L99" s="86">
        <f t="shared" si="2"/>
        <v>99.175169259791801</v>
      </c>
      <c r="M99">
        <f t="shared" si="3"/>
        <v>3.6072113280994798E-3</v>
      </c>
      <c r="N99" s="80">
        <f t="shared" si="4"/>
        <v>2.487218095660818E-3</v>
      </c>
    </row>
    <row r="100" spans="2:14">
      <c r="B100" s="289">
        <v>54.964551637956902</v>
      </c>
      <c r="C100" s="289">
        <v>4.81755177332234E-2</v>
      </c>
      <c r="D100" s="289">
        <v>6.4022831484469703E-2</v>
      </c>
      <c r="E100" s="289">
        <v>4.4445038337237799E-2</v>
      </c>
      <c r="F100" s="287">
        <v>4.7212593489205097E-2</v>
      </c>
      <c r="L100" s="86">
        <f t="shared" si="2"/>
        <v>100.370050817139</v>
      </c>
      <c r="M100">
        <f t="shared" si="3"/>
        <v>3.6474909897694675E-3</v>
      </c>
      <c r="N100" s="80">
        <f t="shared" si="4"/>
        <v>2.5140727920548731E-3</v>
      </c>
    </row>
    <row r="101" spans="2:14">
      <c r="B101" s="289">
        <v>56.159433195303798</v>
      </c>
      <c r="C101" s="289">
        <v>4.9732512921352799E-2</v>
      </c>
      <c r="D101" s="289">
        <v>6.5748996194968504E-2</v>
      </c>
      <c r="E101" s="289">
        <v>4.5935136214382902E-2</v>
      </c>
      <c r="F101" s="287">
        <v>4.85091562055006E-2</v>
      </c>
      <c r="L101" s="86">
        <f t="shared" ref="L101:L140" si="5">B139</f>
        <v>101.56493237448601</v>
      </c>
      <c r="M101">
        <f t="shared" si="3"/>
        <v>3.6872546298428854E-3</v>
      </c>
      <c r="N101" s="80">
        <f t="shared" si="4"/>
        <v>2.5405800748914587E-3</v>
      </c>
    </row>
    <row r="102" spans="2:14">
      <c r="B102" s="289">
        <v>57.354314752650701</v>
      </c>
      <c r="C102" s="289">
        <v>5.1294851892412403E-2</v>
      </c>
      <c r="D102" s="289">
        <v>6.7450927609298106E-2</v>
      </c>
      <c r="E102" s="289">
        <v>4.7435076175049502E-2</v>
      </c>
      <c r="F102" s="287">
        <v>4.97902469602505E-2</v>
      </c>
      <c r="L102" s="86">
        <f t="shared" si="5"/>
        <v>102.759813931832</v>
      </c>
      <c r="M102">
        <f t="shared" si="3"/>
        <v>3.7265057261933214E-3</v>
      </c>
      <c r="N102" s="80">
        <f t="shared" si="4"/>
        <v>2.5667431232351506E-3</v>
      </c>
    </row>
    <row r="103" spans="2:14">
      <c r="B103" s="289">
        <v>58.549196309997598</v>
      </c>
      <c r="C103" s="289">
        <v>5.2860962946765698E-2</v>
      </c>
      <c r="D103" s="289">
        <v>6.9126674433085705E-2</v>
      </c>
      <c r="E103" s="289">
        <v>4.8943405958436E-2</v>
      </c>
      <c r="F103" s="287">
        <v>5.1054469643172298E-2</v>
      </c>
      <c r="L103" s="86">
        <f t="shared" si="5"/>
        <v>103.954695489179</v>
      </c>
      <c r="M103">
        <f t="shared" si="3"/>
        <v>3.7652480525864713E-3</v>
      </c>
      <c r="N103" s="80">
        <f t="shared" si="4"/>
        <v>2.5925652013516574E-3</v>
      </c>
    </row>
    <row r="104" spans="2:14">
      <c r="B104" s="289">
        <v>59.744077867344501</v>
      </c>
      <c r="C104" s="289">
        <v>5.4429673603686897E-2</v>
      </c>
      <c r="D104" s="289">
        <v>7.0774847402161001E-2</v>
      </c>
      <c r="E104" s="289">
        <v>5.0458906756478503E-2</v>
      </c>
      <c r="F104" s="287">
        <v>5.2300809716515802E-2</v>
      </c>
      <c r="L104" s="86">
        <f t="shared" si="5"/>
        <v>105.14957704652601</v>
      </c>
      <c r="M104">
        <f t="shared" si="3"/>
        <v>3.8034859544276763E-3</v>
      </c>
      <c r="N104" s="80">
        <f t="shared" si="4"/>
        <v>2.618049912484433E-3</v>
      </c>
    </row>
    <row r="105" spans="2:14">
      <c r="B105" s="289">
        <v>60.938959424691397</v>
      </c>
      <c r="C105" s="289">
        <v>5.5999938765787599E-2</v>
      </c>
      <c r="D105" s="289">
        <v>7.2394367120659706E-2</v>
      </c>
      <c r="E105" s="289">
        <v>5.1980508785985403E-2</v>
      </c>
      <c r="F105" s="287">
        <v>5.3528466184771702E-2</v>
      </c>
      <c r="L105" s="86">
        <f t="shared" si="5"/>
        <v>106.34445860387299</v>
      </c>
      <c r="M105">
        <f t="shared" si="3"/>
        <v>3.8412255613884776E-3</v>
      </c>
      <c r="N105" s="80">
        <f t="shared" si="4"/>
        <v>2.643202052074441E-3</v>
      </c>
    </row>
    <row r="106" spans="2:14">
      <c r="B106" s="289">
        <v>62.133840982038301</v>
      </c>
      <c r="C106" s="289">
        <v>5.7570744248154802E-2</v>
      </c>
      <c r="D106" s="289">
        <v>7.3984291954576495E-2</v>
      </c>
      <c r="E106" s="289">
        <v>5.3507165301850797E-2</v>
      </c>
      <c r="F106" s="287">
        <v>5.4736727825286699E-2</v>
      </c>
      <c r="L106" s="86">
        <f t="shared" si="5"/>
        <v>107.53934016122</v>
      </c>
      <c r="M106">
        <f t="shared" si="3"/>
        <v>3.8784728837335052E-3</v>
      </c>
      <c r="N106" s="80">
        <f t="shared" si="4"/>
        <v>2.6680261165464604E-3</v>
      </c>
    </row>
    <row r="107" spans="2:14">
      <c r="B107" s="289">
        <v>63.328722539385097</v>
      </c>
      <c r="C107" s="289">
        <v>5.91411028990073E-2</v>
      </c>
      <c r="D107" s="289">
        <v>7.5543781789445194E-2</v>
      </c>
      <c r="E107" s="289">
        <v>5.50376923898745E-2</v>
      </c>
      <c r="F107" s="287">
        <v>5.5924924340518302E-2</v>
      </c>
      <c r="L107" s="86">
        <f t="shared" si="5"/>
        <v>108.734221718567</v>
      </c>
      <c r="M107">
        <f t="shared" si="3"/>
        <v>3.9152340645890026E-3</v>
      </c>
      <c r="N107" s="80">
        <f t="shared" si="4"/>
        <v>2.6925266135820075E-3</v>
      </c>
    </row>
    <row r="108" spans="2:14">
      <c r="B108" s="289">
        <v>64.523604096732001</v>
      </c>
      <c r="C108" s="289">
        <v>6.0710031718407401E-2</v>
      </c>
      <c r="D108" s="289">
        <v>7.7072378100800101E-2</v>
      </c>
      <c r="E108" s="289">
        <v>5.65710093485517E-2</v>
      </c>
      <c r="F108" s="287">
        <v>5.70926432388809E-2</v>
      </c>
      <c r="L108" s="86">
        <f t="shared" si="5"/>
        <v>109.929103275914</v>
      </c>
      <c r="M108">
        <f t="shared" si="3"/>
        <v>3.9515158780722278E-3</v>
      </c>
      <c r="N108" s="80">
        <f t="shared" si="4"/>
        <v>2.716708432318778E-3</v>
      </c>
    </row>
    <row r="109" spans="2:14">
      <c r="B109" s="289">
        <v>65.718485654078904</v>
      </c>
      <c r="C109" s="289">
        <v>6.2276744444375198E-2</v>
      </c>
      <c r="D109" s="289">
        <v>7.8569801569391307E-2</v>
      </c>
      <c r="E109" s="289">
        <v>5.8106156249736501E-2</v>
      </c>
      <c r="F109" s="287">
        <v>5.8239593779985201E-2</v>
      </c>
      <c r="L109" s="86">
        <f t="shared" si="5"/>
        <v>111.12398483326101</v>
      </c>
      <c r="M109">
        <f t="shared" si="3"/>
        <v>3.98732735954939E-3</v>
      </c>
      <c r="N109" s="80">
        <f t="shared" si="4"/>
        <v>2.7405779412241361E-3</v>
      </c>
    </row>
    <row r="110" spans="2:14">
      <c r="B110" s="289">
        <v>66.913367211425793</v>
      </c>
      <c r="C110" s="289">
        <v>6.3840514363259604E-2</v>
      </c>
      <c r="D110" s="289">
        <v>8.0035883961716306E-2</v>
      </c>
      <c r="E110" s="289">
        <v>5.9642183247955102E-2</v>
      </c>
      <c r="F110" s="287">
        <v>5.9365552748968098E-2</v>
      </c>
      <c r="L110" s="86">
        <f t="shared" si="5"/>
        <v>112.31886639060799</v>
      </c>
      <c r="M110">
        <f t="shared" si="3"/>
        <v>4.0226768467444942E-3</v>
      </c>
      <c r="N110" s="80">
        <f t="shared" si="4"/>
        <v>2.7641409121608148E-3</v>
      </c>
    </row>
    <row r="111" spans="2:14">
      <c r="B111" s="289">
        <v>68.108248768772697</v>
      </c>
      <c r="C111" s="289">
        <v>6.5400538769597297E-2</v>
      </c>
      <c r="D111" s="289">
        <v>8.1470646220736395E-2</v>
      </c>
      <c r="E111" s="289">
        <v>6.1178004064920001E-2</v>
      </c>
      <c r="F111" s="287">
        <v>6.0470385438747699E-2</v>
      </c>
      <c r="L111" s="86">
        <f t="shared" si="5"/>
        <v>113.513747947954</v>
      </c>
      <c r="M111">
        <f t="shared" si="3"/>
        <v>4.0575726597910141E-3</v>
      </c>
      <c r="N111" s="80">
        <f t="shared" si="4"/>
        <v>2.787403059817296E-3</v>
      </c>
    </row>
    <row r="112" spans="2:14">
      <c r="B112" s="289">
        <v>69.3031303261196</v>
      </c>
      <c r="C112" s="289">
        <v>6.6956155207710796E-2</v>
      </c>
      <c r="D112" s="289">
        <v>8.2874310156442907E-2</v>
      </c>
      <c r="E112" s="289">
        <v>6.2712696448699298E-2</v>
      </c>
      <c r="F112" s="287">
        <v>6.1554099314106998E-2</v>
      </c>
      <c r="L112" s="86">
        <f t="shared" si="5"/>
        <v>114.708629505301</v>
      </c>
      <c r="M112">
        <f t="shared" si="3"/>
        <v>4.092023796905717E-3</v>
      </c>
      <c r="N112" s="80">
        <f t="shared" si="4"/>
        <v>2.8103705204722451E-3</v>
      </c>
    </row>
    <row r="113" spans="2:14">
      <c r="B113" s="289">
        <v>70.498011883466503</v>
      </c>
      <c r="C113" s="289">
        <v>6.8506836386279801E-2</v>
      </c>
      <c r="D113" s="289">
        <v>8.4247172869488393E-2</v>
      </c>
      <c r="E113" s="289">
        <v>6.4245420297256994E-2</v>
      </c>
      <c r="F113" s="287">
        <v>6.2616756315429803E-2</v>
      </c>
      <c r="L113" s="86">
        <f t="shared" si="5"/>
        <v>115.90351106264799</v>
      </c>
      <c r="M113">
        <f t="shared" si="3"/>
        <v>4.1260417757484676E-3</v>
      </c>
      <c r="N113" s="80">
        <f t="shared" si="4"/>
        <v>2.833051069581346E-3</v>
      </c>
    </row>
    <row r="114" spans="2:14">
      <c r="B114" s="289">
        <v>71.692893440813407</v>
      </c>
      <c r="C114" s="289">
        <v>7.0052098473435798E-2</v>
      </c>
      <c r="D114" s="289">
        <v>8.5589613109981699E-2</v>
      </c>
      <c r="E114" s="289">
        <v>6.5775332837813796E-2</v>
      </c>
      <c r="F114" s="287">
        <v>6.3658465660603306E-2</v>
      </c>
      <c r="L114" s="86">
        <f t="shared" si="5"/>
        <v>117.098392619995</v>
      </c>
      <c r="M114">
        <f t="shared" si="3"/>
        <v>4.1596368410986529E-3</v>
      </c>
      <c r="N114" s="80">
        <f t="shared" si="4"/>
        <v>2.8554515736282284E-3</v>
      </c>
    </row>
    <row r="115" spans="2:14">
      <c r="B115" s="289">
        <v>72.887774998160296</v>
      </c>
      <c r="C115" s="289">
        <v>7.1591278659920099E-2</v>
      </c>
      <c r="D115" s="289">
        <v>8.6902239149801302E-2</v>
      </c>
      <c r="E115" s="289">
        <v>6.7301423805280897E-2</v>
      </c>
      <c r="F115" s="287">
        <v>6.4679449915874904E-2</v>
      </c>
      <c r="L115" s="86">
        <f t="shared" si="5"/>
        <v>118.293274177342</v>
      </c>
      <c r="M115">
        <f t="shared" si="3"/>
        <v>4.1928190605628407E-3</v>
      </c>
      <c r="N115" s="80">
        <f t="shared" si="4"/>
        <v>2.8775787587825069E-3</v>
      </c>
    </row>
    <row r="116" spans="2:14">
      <c r="B116" s="289">
        <v>74.0826565555071</v>
      </c>
      <c r="C116" s="289">
        <v>7.3123856914599494E-2</v>
      </c>
      <c r="D116" s="289">
        <v>8.8185705103327794E-2</v>
      </c>
      <c r="E116" s="289">
        <v>6.8822849165914607E-2</v>
      </c>
      <c r="F116" s="287">
        <v>6.5679977943024395E-2</v>
      </c>
      <c r="L116" s="86">
        <f t="shared" si="5"/>
        <v>119.488155734689</v>
      </c>
      <c r="M116">
        <f t="shared" si="3"/>
        <v>4.2255991796588824E-3</v>
      </c>
      <c r="N116" s="80">
        <f t="shared" si="4"/>
        <v>2.8994397819108878E-3</v>
      </c>
    </row>
    <row r="117" spans="2:14">
      <c r="B117" s="289">
        <v>75.277538112854003</v>
      </c>
      <c r="C117" s="289">
        <v>7.4649383994951704E-2</v>
      </c>
      <c r="D117" s="289">
        <v>8.9440667747529401E-2</v>
      </c>
      <c r="E117" s="289">
        <v>7.0338839487683505E-2</v>
      </c>
      <c r="F117" s="287">
        <v>6.6660328996093393E-2</v>
      </c>
      <c r="L117" s="86">
        <f t="shared" si="5"/>
        <v>120.683037292036</v>
      </c>
      <c r="M117">
        <f t="shared" si="3"/>
        <v>4.2579905346572609E-3</v>
      </c>
      <c r="N117" s="80">
        <f t="shared" si="4"/>
        <v>2.9210434883558383E-3</v>
      </c>
    </row>
    <row r="118" spans="2:14">
      <c r="B118" s="289">
        <v>76.472419670200907</v>
      </c>
      <c r="C118" s="289">
        <v>7.6167429073247903E-2</v>
      </c>
      <c r="D118" s="289">
        <v>9.0667838671616402E-2</v>
      </c>
      <c r="E118" s="289">
        <v>7.1848624821575197E-2</v>
      </c>
      <c r="F118" s="287">
        <v>6.7620813282326497E-2</v>
      </c>
      <c r="L118" s="86">
        <f t="shared" si="5"/>
        <v>121.87791884938299</v>
      </c>
      <c r="M118">
        <f t="shared" si="3"/>
        <v>4.2900046336064659E-3</v>
      </c>
      <c r="N118" s="80">
        <f t="shared" si="4"/>
        <v>2.9423974906752446E-3</v>
      </c>
    </row>
    <row r="119" spans="2:14">
      <c r="B119" s="289">
        <v>77.667301227547796</v>
      </c>
      <c r="C119" s="289">
        <v>7.7677514936041497E-2</v>
      </c>
      <c r="D119" s="289">
        <v>9.1868160779062596E-2</v>
      </c>
      <c r="E119" s="289">
        <v>7.3351318697808796E-2</v>
      </c>
      <c r="F119" s="287">
        <v>6.8561857495282999E-2</v>
      </c>
      <c r="L119" s="86">
        <f t="shared" si="5"/>
        <v>123.07280040673</v>
      </c>
      <c r="M119">
        <f t="shared" si="3"/>
        <v>4.321652665670638E-3</v>
      </c>
      <c r="N119" s="80">
        <f t="shared" si="4"/>
        <v>2.9635091818103988E-3</v>
      </c>
    </row>
    <row r="120" spans="2:14">
      <c r="B120" s="289">
        <v>78.862182784894699</v>
      </c>
      <c r="C120" s="289">
        <v>7.9179255935863793E-2</v>
      </c>
      <c r="D120" s="289">
        <v>9.3042510485161795E-2</v>
      </c>
      <c r="E120" s="289">
        <v>7.48461653333828E-2</v>
      </c>
      <c r="F120" s="287">
        <v>6.9483868483600095E-2</v>
      </c>
      <c r="L120" s="86">
        <f t="shared" si="5"/>
        <v>124.267681964077</v>
      </c>
      <c r="M120">
        <f t="shared" si="3"/>
        <v>4.3529464568253613E-3</v>
      </c>
      <c r="N120" s="80">
        <f t="shared" si="4"/>
        <v>2.9843863660359619E-3</v>
      </c>
    </row>
    <row r="121" spans="2:14">
      <c r="B121" s="289">
        <v>80.057064342241603</v>
      </c>
      <c r="C121" s="289">
        <v>8.0672308917520794E-2</v>
      </c>
      <c r="D121" s="289">
        <v>9.4191722471953995E-2</v>
      </c>
      <c r="E121" s="289">
        <v>7.6332463525319597E-2</v>
      </c>
      <c r="F121" s="287">
        <v>7.0387238327054694E-2</v>
      </c>
      <c r="L121" s="86">
        <f t="shared" si="5"/>
        <v>125.46256352142299</v>
      </c>
      <c r="M121">
        <f t="shared" si="3"/>
        <v>4.3839003167559449E-3</v>
      </c>
      <c r="N121" s="80">
        <f t="shared" si="4"/>
        <v>3.005038474335457E-3</v>
      </c>
    </row>
    <row r="122" spans="2:14">
      <c r="B122" s="289">
        <v>81.251945899588506</v>
      </c>
      <c r="C122" s="289">
        <v>8.2156337761803297E-2</v>
      </c>
      <c r="D122" s="289">
        <v>9.5316664568358495E-2</v>
      </c>
      <c r="E122" s="289">
        <v>7.7809503444652303E-2</v>
      </c>
      <c r="F122" s="287">
        <v>7.1272378575879897E-2</v>
      </c>
      <c r="L122" s="86">
        <f t="shared" si="5"/>
        <v>126.65744507877</v>
      </c>
      <c r="M122">
        <f t="shared" si="3"/>
        <v>4.4145262699871934E-3</v>
      </c>
      <c r="N122" s="80">
        <f t="shared" si="4"/>
        <v>3.0254734252136263E-3</v>
      </c>
    </row>
    <row r="123" spans="2:14">
      <c r="B123" s="289">
        <v>82.446827456935395</v>
      </c>
      <c r="C123" s="289">
        <v>8.3630962166698894E-2</v>
      </c>
      <c r="D123" s="289">
        <v>9.6418411712512697E-2</v>
      </c>
      <c r="E123" s="289">
        <v>7.9276484942598605E-2</v>
      </c>
      <c r="F123" s="287">
        <v>7.2139805966221895E-2</v>
      </c>
      <c r="L123" s="86">
        <f t="shared" si="5"/>
        <v>127.852326636117</v>
      </c>
      <c r="M123">
        <f t="shared" si="3"/>
        <v>4.4448359060641736E-3</v>
      </c>
      <c r="N123" s="80">
        <f t="shared" si="4"/>
        <v>3.0456988486640222E-3</v>
      </c>
    </row>
    <row r="124" spans="2:14">
      <c r="B124" s="289">
        <v>83.641709014282299</v>
      </c>
      <c r="C124" s="289">
        <v>8.5095878866695798E-2</v>
      </c>
      <c r="D124" s="289">
        <v>9.74979035464245E-2</v>
      </c>
      <c r="E124" s="289">
        <v>8.0732757670824301E-2</v>
      </c>
      <c r="F124" s="287">
        <v>7.29899792941094E-2</v>
      </c>
      <c r="L124" s="86">
        <f t="shared" si="5"/>
        <v>129.047208193464</v>
      </c>
      <c r="M124">
        <f t="shared" si="3"/>
        <v>4.4748413697969416E-3</v>
      </c>
      <c r="N124" s="80">
        <f t="shared" si="4"/>
        <v>3.0657227377704024E-3</v>
      </c>
    </row>
    <row r="125" spans="2:14">
      <c r="B125" s="289">
        <v>84.836590571629102</v>
      </c>
      <c r="C125" s="289">
        <v>8.6550816913963394E-2</v>
      </c>
      <c r="D125" s="289">
        <v>9.8556011987846595E-2</v>
      </c>
      <c r="E125" s="289">
        <v>8.2177719608461805E-2</v>
      </c>
      <c r="F125" s="287">
        <v>7.3823326148194798E-2</v>
      </c>
      <c r="L125" s="86">
        <f t="shared" si="5"/>
        <v>130.242089750811</v>
      </c>
      <c r="M125">
        <f t="shared" si="3"/>
        <v>4.5045570026751702E-3</v>
      </c>
      <c r="N125" s="80">
        <f t="shared" si="4"/>
        <v>3.0855545307376087E-3</v>
      </c>
    </row>
    <row r="126" spans="2:14">
      <c r="B126" s="289">
        <v>86.031472128976006</v>
      </c>
      <c r="C126" s="289">
        <v>8.7995510713187897E-2</v>
      </c>
      <c r="D126" s="289">
        <v>9.9593623402696299E-2</v>
      </c>
      <c r="E126" s="289">
        <v>8.3610764886037997E-2</v>
      </c>
      <c r="F126" s="287">
        <v>7.4640283150597606E-2</v>
      </c>
      <c r="L126" s="86">
        <f t="shared" si="5"/>
        <v>131.43697130815801</v>
      </c>
      <c r="M126">
        <f t="shared" si="3"/>
        <v>4.5339945777419588E-3</v>
      </c>
      <c r="N126" s="80">
        <f t="shared" si="4"/>
        <v>3.1052019761596598E-3</v>
      </c>
    </row>
    <row r="127" spans="2:14">
      <c r="B127" s="289">
        <v>87.226353686322895</v>
      </c>
      <c r="C127" s="289">
        <v>8.9429664533583406E-2</v>
      </c>
      <c r="D127" s="289">
        <v>0.100611796434649</v>
      </c>
      <c r="E127" s="289">
        <v>8.5031259878120199E-2</v>
      </c>
      <c r="F127" s="287">
        <v>7.5441378990145302E-2</v>
      </c>
      <c r="L127" s="86">
        <f t="shared" si="5"/>
        <v>132.63185286550501</v>
      </c>
      <c r="M127">
        <f t="shared" si="3"/>
        <v>4.5631653533798038E-3</v>
      </c>
      <c r="N127" s="80">
        <f t="shared" si="4"/>
        <v>3.1246724849003931E-3</v>
      </c>
    </row>
    <row r="128" spans="2:14">
      <c r="B128" s="289">
        <v>88.421235243669798</v>
      </c>
      <c r="C128" s="289">
        <v>9.0853047530393805E-2</v>
      </c>
      <c r="D128" s="289">
        <v>0.101611417203971</v>
      </c>
      <c r="E128" s="289">
        <v>8.6438637560478301E-2</v>
      </c>
      <c r="F128" s="287">
        <v>7.6227062518470598E-2</v>
      </c>
      <c r="L128" s="86">
        <f t="shared" si="5"/>
        <v>133.82673442285201</v>
      </c>
      <c r="M128">
        <f t="shared" si="3"/>
        <v>4.5920810321951732E-3</v>
      </c>
      <c r="N128" s="80">
        <f t="shared" si="4"/>
        <v>3.1439737612695353E-3</v>
      </c>
    </row>
    <row r="129" spans="2:14">
      <c r="B129" s="289">
        <v>89.616116801016702</v>
      </c>
      <c r="C129" s="289">
        <v>9.2265455736435603E-2</v>
      </c>
      <c r="D129" s="289">
        <v>0.102593296905394</v>
      </c>
      <c r="E129" s="289">
        <v>8.7832409879764303E-2</v>
      </c>
      <c r="F129" s="287">
        <v>7.6997747412456102E-2</v>
      </c>
      <c r="L129" s="86">
        <f t="shared" si="5"/>
        <v>135.02161598019899</v>
      </c>
      <c r="M129">
        <f t="shared" si="3"/>
        <v>4.6207550854652129E-3</v>
      </c>
      <c r="N129" s="80">
        <f t="shared" si="4"/>
        <v>3.1631146776001534E-3</v>
      </c>
    </row>
    <row r="130" spans="2:14">
      <c r="B130" s="289">
        <v>90.810998358363605</v>
      </c>
      <c r="C130" s="289">
        <v>9.3666691682461195E-2</v>
      </c>
      <c r="D130" s="289">
        <v>0.103558248700934</v>
      </c>
      <c r="E130" s="289">
        <v>8.9212110811581896E-2</v>
      </c>
      <c r="F130" s="287">
        <v>7.7753851019100706E-2</v>
      </c>
      <c r="L130" s="86">
        <f t="shared" si="5"/>
        <v>136.216497537545</v>
      </c>
      <c r="M130">
        <f t="shared" si="3"/>
        <v>4.6491983340404622E-3</v>
      </c>
      <c r="N130" s="80">
        <f t="shared" si="4"/>
        <v>3.1821023645129802E-3</v>
      </c>
    </row>
    <row r="131" spans="2:14">
      <c r="B131" s="289">
        <v>92.005879915710494</v>
      </c>
      <c r="C131" s="289">
        <v>9.5056542134859104E-2</v>
      </c>
      <c r="D131" s="289">
        <v>0.10450721339134</v>
      </c>
      <c r="E131" s="289">
        <v>9.0577228087866293E-2</v>
      </c>
      <c r="F131" s="287">
        <v>7.8495863394791004E-2</v>
      </c>
      <c r="L131" s="86">
        <f t="shared" si="5"/>
        <v>137.411379094892</v>
      </c>
      <c r="M131">
        <f t="shared" si="3"/>
        <v>4.6774210393203302E-3</v>
      </c>
      <c r="N131" s="80">
        <f t="shared" si="4"/>
        <v>3.2009435857366327E-3</v>
      </c>
    </row>
    <row r="132" spans="2:14">
      <c r="B132" s="289">
        <v>93.200761473057398</v>
      </c>
      <c r="C132" s="289">
        <v>9.6434848142557095E-2</v>
      </c>
      <c r="D132" s="289">
        <v>0.10544095166935499</v>
      </c>
      <c r="E132" s="289">
        <v>9.1927374167162595E-2</v>
      </c>
      <c r="F132" s="287">
        <v>7.9224188657088399E-2</v>
      </c>
      <c r="L132" s="86">
        <f t="shared" si="5"/>
        <v>138.606260652239</v>
      </c>
      <c r="M132">
        <f t="shared" si="3"/>
        <v>4.7054337684368829E-3</v>
      </c>
      <c r="N132" s="80">
        <f t="shared" si="4"/>
        <v>3.2196453085049557E-3</v>
      </c>
    </row>
    <row r="133" spans="2:14">
      <c r="B133" s="289">
        <v>94.395643030404301</v>
      </c>
      <c r="C133" s="289">
        <v>9.7801472637485995E-2</v>
      </c>
      <c r="D133" s="289">
        <v>0.106360151382214</v>
      </c>
      <c r="E133" s="289">
        <v>9.32622147789334E-2</v>
      </c>
      <c r="F133" s="287">
        <v>7.9939196167053306E-2</v>
      </c>
      <c r="L133" s="86">
        <f t="shared" si="5"/>
        <v>139.801142209586</v>
      </c>
      <c r="M133">
        <f t="shared" si="3"/>
        <v>4.7332483811110149E-3</v>
      </c>
      <c r="N133" s="80">
        <f t="shared" si="4"/>
        <v>3.2382153581243431E-3</v>
      </c>
    </row>
    <row r="134" spans="2:14">
      <c r="B134" s="289">
        <v>95.590524587751204</v>
      </c>
      <c r="C134" s="289">
        <v>9.9156286572485305E-2</v>
      </c>
      <c r="D134" s="289">
        <v>0.107265492855297</v>
      </c>
      <c r="E134" s="289">
        <v>9.4581434662202299E-2</v>
      </c>
      <c r="F134" s="287">
        <v>8.0641255125382699E-2</v>
      </c>
      <c r="L134" s="86">
        <f t="shared" si="5"/>
        <v>140.99602376693301</v>
      </c>
      <c r="M134">
        <f t="shared" si="3"/>
        <v>4.7608741829496598E-3</v>
      </c>
      <c r="N134" s="80">
        <f t="shared" si="4"/>
        <v>3.2566598782281186E-3</v>
      </c>
    </row>
    <row r="135" spans="2:14">
      <c r="B135" s="289">
        <v>96.785406145097994</v>
      </c>
      <c r="C135" s="289">
        <v>0.100499162328805</v>
      </c>
      <c r="D135" s="289">
        <v>0.10815774437327701</v>
      </c>
      <c r="E135" s="289">
        <v>9.5884711623439894E-2</v>
      </c>
      <c r="F135" s="287">
        <v>8.1330796209250295E-2</v>
      </c>
      <c r="L135" s="86">
        <f t="shared" si="5"/>
        <v>142.19090532428001</v>
      </c>
      <c r="M135">
        <f t="shared" si="3"/>
        <v>4.7883199308244419E-3</v>
      </c>
      <c r="N135" s="80">
        <f t="shared" si="4"/>
        <v>3.2749846525076004E-3</v>
      </c>
    </row>
    <row r="136" spans="2:14">
      <c r="B136" s="289">
        <v>97.980287702444897</v>
      </c>
      <c r="C136" s="289">
        <v>0.101830013706516</v>
      </c>
      <c r="D136" s="289">
        <v>0.109037505888153</v>
      </c>
      <c r="E136" s="289">
        <v>9.7171824238029197E-2</v>
      </c>
      <c r="F136" s="287">
        <v>8.2008165849117201E-2</v>
      </c>
      <c r="L136" s="86">
        <f t="shared" si="5"/>
        <v>143.38578688162701</v>
      </c>
      <c r="M136">
        <f t="shared" si="3"/>
        <v>4.8155945616797985E-3</v>
      </c>
      <c r="N136" s="80">
        <f t="shared" si="4"/>
        <v>3.2931955864615005E-3</v>
      </c>
    </row>
    <row r="137" spans="2:14">
      <c r="B137" s="289">
        <v>99.175169259791801</v>
      </c>
      <c r="C137" s="289">
        <v>0.103148772616203</v>
      </c>
      <c r="D137" s="289">
        <v>0.109905315529377</v>
      </c>
      <c r="E137" s="289">
        <v>9.8442595969969501E-2</v>
      </c>
      <c r="F137" s="287">
        <v>8.2673682354086994E-2</v>
      </c>
      <c r="L137" s="86">
        <f t="shared" si="5"/>
        <v>144.58066843897399</v>
      </c>
      <c r="M137">
        <f t="shared" si="3"/>
        <v>4.8427078249278109E-3</v>
      </c>
      <c r="N137" s="80">
        <f t="shared" si="4"/>
        <v>3.3112991271180506E-3</v>
      </c>
    </row>
    <row r="138" spans="2:14">
      <c r="B138" s="289">
        <v>100.370050817139</v>
      </c>
      <c r="C138" s="289">
        <v>0.10445538146421</v>
      </c>
      <c r="D138" s="289">
        <v>0.110761699867547</v>
      </c>
      <c r="E138" s="289">
        <v>9.9696875520715197E-2</v>
      </c>
      <c r="F138" s="287">
        <v>8.3327664562929796E-2</v>
      </c>
      <c r="L138" s="86">
        <f t="shared" si="5"/>
        <v>145.77554999632099</v>
      </c>
      <c r="M138">
        <f t="shared" si="3"/>
        <v>4.8696672128073232E-3</v>
      </c>
      <c r="N138" s="80">
        <f t="shared" si="4"/>
        <v>3.3293002329150036E-3</v>
      </c>
    </row>
    <row r="139" spans="2:14">
      <c r="B139" s="289">
        <v>101.56493237448601</v>
      </c>
      <c r="C139" s="289">
        <v>0.10574979780513</v>
      </c>
      <c r="D139" s="289">
        <v>0.111607237064246</v>
      </c>
      <c r="E139" s="289">
        <v>0.1009345449276</v>
      </c>
      <c r="F139" s="287">
        <v>8.3970481155559204E-2</v>
      </c>
      <c r="L139" s="86">
        <f t="shared" si="5"/>
        <v>146.970431553667</v>
      </c>
      <c r="M139">
        <f t="shared" si="3"/>
        <v>4.8964797215231256E-3</v>
      </c>
      <c r="N139" s="80">
        <f t="shared" si="4"/>
        <v>3.3472035360989291E-3</v>
      </c>
    </row>
    <row r="140" spans="2:14">
      <c r="B140" s="289">
        <v>102.759813931832</v>
      </c>
      <c r="C140" s="289">
        <v>0.107032007803541</v>
      </c>
      <c r="D140" s="289">
        <v>0.112442365801196</v>
      </c>
      <c r="E140" s="289">
        <v>0.10215555951620001</v>
      </c>
      <c r="F140" s="287">
        <v>8.4602428277532393E-2</v>
      </c>
      <c r="L140" s="86">
        <f t="shared" si="5"/>
        <v>148.165313111014</v>
      </c>
      <c r="M140">
        <f t="shared" si="3"/>
        <v>4.9231524212570692E-3</v>
      </c>
      <c r="N140" s="80">
        <f t="shared" si="4"/>
        <v>3.3650137205358012E-3</v>
      </c>
    </row>
    <row r="141" spans="2:14">
      <c r="B141" s="289">
        <v>103.954695489179</v>
      </c>
      <c r="C141" s="289">
        <v>0.10830201115272001</v>
      </c>
      <c r="D141" s="289">
        <v>0.113267477375483</v>
      </c>
      <c r="E141" s="289">
        <v>0.103359907634458</v>
      </c>
      <c r="F141" s="287">
        <v>8.5223781910487503E-2</v>
      </c>
      <c r="L141" s="86">
        <f>B179</f>
        <v>149.360194668361</v>
      </c>
      <c r="M141">
        <f t="shared" si="3"/>
        <v>4.9496928296545381E-3</v>
      </c>
      <c r="N141" s="80">
        <f t="shared" si="4"/>
        <v>3.3827357710956452E-3</v>
      </c>
    </row>
    <row r="142" spans="2:14">
      <c r="B142" s="289">
        <v>105.14957704652601</v>
      </c>
      <c r="C142" s="289">
        <v>0.10955981979865601</v>
      </c>
      <c r="D142" s="289">
        <v>0.11408295140385701</v>
      </c>
      <c r="E142" s="289">
        <v>0.104547606742179</v>
      </c>
      <c r="F142" s="287">
        <v>8.5834821733121E-2</v>
      </c>
      <c r="L142" s="86">
        <f t="shared" ref="L142:L176" si="6">B180</f>
        <v>150.55507622570801</v>
      </c>
      <c r="M142">
        <f t="shared" si="3"/>
        <v>4.9761066240325749E-3</v>
      </c>
      <c r="N142" s="80">
        <f t="shared" si="4"/>
        <v>3.4003734560544441E-3</v>
      </c>
    </row>
    <row r="143" spans="2:14">
      <c r="B143" s="289">
        <v>106.34445860387299</v>
      </c>
      <c r="C143" s="289">
        <v>0.11080547220409501</v>
      </c>
      <c r="D143" s="289">
        <v>0.114889193312135</v>
      </c>
      <c r="E143" s="289">
        <v>0.10571873846916401</v>
      </c>
      <c r="F143" s="287">
        <v>8.6435871767999398E-2</v>
      </c>
      <c r="L143" s="86">
        <f t="shared" si="6"/>
        <v>151.74995778305501</v>
      </c>
      <c r="M143">
        <f t="shared" si="3"/>
        <v>5.0023990782196437E-3</v>
      </c>
      <c r="N143" s="80">
        <f t="shared" si="4"/>
        <v>3.4179302776550886E-3</v>
      </c>
    </row>
    <row r="144" spans="2:14">
      <c r="B144" s="289">
        <v>107.53934016122</v>
      </c>
      <c r="C144" s="289">
        <v>0.11203902194090699</v>
      </c>
      <c r="D144" s="289">
        <v>0.115686506098452</v>
      </c>
      <c r="E144" s="289">
        <v>0.10687342393756299</v>
      </c>
      <c r="F144" s="287">
        <v>8.7027199736020106E-2</v>
      </c>
      <c r="L144" s="86">
        <f t="shared" si="6"/>
        <v>152.94483934040201</v>
      </c>
      <c r="M144">
        <f t="shared" si="3"/>
        <v>5.0285754827307048E-3</v>
      </c>
      <c r="N144" s="80">
        <f t="shared" si="4"/>
        <v>3.4354097514871611E-3</v>
      </c>
    </row>
    <row r="145" spans="2:14">
      <c r="B145" s="289">
        <v>108.734221718567</v>
      </c>
      <c r="C145" s="289">
        <v>0.113260530565033</v>
      </c>
      <c r="D145" s="289">
        <v>0.116475158595044</v>
      </c>
      <c r="E145" s="289">
        <v>0.10801180464422599</v>
      </c>
      <c r="F145" s="287">
        <v>8.7609057978581206E-2</v>
      </c>
      <c r="L145" s="86">
        <f t="shared" si="6"/>
        <v>154.13972089774899</v>
      </c>
      <c r="M145">
        <f t="shared" ref="M145:M208" si="7">$D$17/$D$15*C183+$D$19/$D$15*D183+$D$21/$D$15*E183+$D$23/$D$15*F183</f>
        <v>5.0546413637739263E-3</v>
      </c>
      <c r="N145" s="80">
        <f t="shared" ref="N145:N208" si="8">$D$16/$D$14*C183+$D$18/$D$14*D183+$D$20/$D$14*E183+$D$22/$D$14*F183</f>
        <v>3.4528155543632959E-3</v>
      </c>
    </row>
    <row r="146" spans="2:14">
      <c r="B146" s="289">
        <v>109.929103275914</v>
      </c>
      <c r="C146" s="289">
        <v>0.114470072247288</v>
      </c>
      <c r="D146" s="289">
        <v>0.117255409485261</v>
      </c>
      <c r="E146" s="289">
        <v>0.109134052981975</v>
      </c>
      <c r="F146" s="287">
        <v>8.8181705032496199E-2</v>
      </c>
      <c r="L146" s="86">
        <f t="shared" si="6"/>
        <v>155.33460245509599</v>
      </c>
      <c r="M146">
        <f t="shared" si="7"/>
        <v>5.0806008638058535E-3</v>
      </c>
      <c r="N146" s="80">
        <f t="shared" si="8"/>
        <v>3.4701504456647698E-3</v>
      </c>
    </row>
    <row r="147" spans="2:14">
      <c r="B147" s="289">
        <v>111.12398483326101</v>
      </c>
      <c r="C147" s="289">
        <v>0.11566775744475</v>
      </c>
      <c r="D147" s="289">
        <v>0.118027532570394</v>
      </c>
      <c r="E147" s="289">
        <v>0.110240429706378</v>
      </c>
      <c r="F147" s="287">
        <v>8.8745449087444805E-2</v>
      </c>
      <c r="L147" s="86">
        <f t="shared" si="6"/>
        <v>156.52948401244299</v>
      </c>
      <c r="M147">
        <f t="shared" si="7"/>
        <v>5.1064578348808121E-3</v>
      </c>
      <c r="N147" s="80">
        <f t="shared" si="8"/>
        <v>3.4874169928732295E-3</v>
      </c>
    </row>
    <row r="148" spans="2:14">
      <c r="B148" s="289">
        <v>112.31886639060799</v>
      </c>
      <c r="C148" s="289">
        <v>0.116853696147518</v>
      </c>
      <c r="D148" s="289">
        <v>0.11879173076885501</v>
      </c>
      <c r="E148" s="289">
        <v>0.11133119678481</v>
      </c>
      <c r="F148" s="287">
        <v>8.9300549642070196E-2</v>
      </c>
      <c r="L148" s="86">
        <f t="shared" si="6"/>
        <v>157.724365569789</v>
      </c>
      <c r="M148">
        <f t="shared" si="7"/>
        <v>5.1322161439329968E-3</v>
      </c>
      <c r="N148" s="80">
        <f t="shared" si="8"/>
        <v>3.5046177753864233E-3</v>
      </c>
    </row>
    <row r="149" spans="2:14">
      <c r="B149" s="289">
        <v>113.513747947954</v>
      </c>
      <c r="C149" s="289">
        <v>0.118028001572625</v>
      </c>
      <c r="D149" s="289">
        <v>0.11954818505031301</v>
      </c>
      <c r="E149" s="289">
        <v>0.112406624835069</v>
      </c>
      <c r="F149" s="287">
        <v>8.9847255037210902E-2</v>
      </c>
      <c r="L149" s="86">
        <f t="shared" si="6"/>
        <v>158.919247127136</v>
      </c>
      <c r="M149">
        <f t="shared" si="7"/>
        <v>5.1578798208322656E-3</v>
      </c>
      <c r="N149" s="80">
        <f t="shared" si="8"/>
        <v>3.5217554853501191E-3</v>
      </c>
    </row>
    <row r="150" spans="2:14">
      <c r="B150" s="289">
        <v>114.708629505301</v>
      </c>
      <c r="C150" s="289">
        <v>0.119190799561033</v>
      </c>
      <c r="D150" s="289">
        <v>0.12029707005009101</v>
      </c>
      <c r="E150" s="289">
        <v>0.113467015551396</v>
      </c>
      <c r="F150" s="287">
        <v>9.0385823428385595E-2</v>
      </c>
      <c r="L150" s="86">
        <f t="shared" si="6"/>
        <v>160.11412868448301</v>
      </c>
      <c r="M150">
        <f t="shared" si="7"/>
        <v>5.1834519145914776E-3</v>
      </c>
      <c r="N150" s="80">
        <f t="shared" si="8"/>
        <v>3.5388321621486057E-3</v>
      </c>
    </row>
    <row r="151" spans="2:14">
      <c r="B151" s="289">
        <v>115.90351106264799</v>
      </c>
      <c r="C151" s="289">
        <v>0.120342256977627</v>
      </c>
      <c r="D151" s="289">
        <v>0.121038571066878</v>
      </c>
      <c r="E151" s="289">
        <v>0.11451277141842101</v>
      </c>
      <c r="F151" s="287">
        <v>9.0916566911352997E-2</v>
      </c>
      <c r="L151" s="86">
        <f t="shared" si="6"/>
        <v>161.30901024183001</v>
      </c>
      <c r="M151">
        <f t="shared" si="7"/>
        <v>5.2089352900700579E-3</v>
      </c>
      <c r="N151" s="80">
        <f t="shared" si="8"/>
        <v>3.5558497231959864E-3</v>
      </c>
    </row>
    <row r="152" spans="2:14">
      <c r="B152" s="289">
        <v>117.098392619995</v>
      </c>
      <c r="C152" s="289">
        <v>0.121482526501402</v>
      </c>
      <c r="D152" s="289">
        <v>0.12177282781865401</v>
      </c>
      <c r="E152" s="289">
        <v>0.115544260856669</v>
      </c>
      <c r="F152" s="287">
        <v>9.1439751776304007E-2</v>
      </c>
      <c r="L152" s="86">
        <f t="shared" si="6"/>
        <v>162.50389179917701</v>
      </c>
      <c r="M152">
        <f t="shared" si="7"/>
        <v>5.2343328628156943E-3</v>
      </c>
      <c r="N152" s="80">
        <f t="shared" si="8"/>
        <v>3.5728101214296025E-3</v>
      </c>
    </row>
    <row r="153" spans="2:14">
      <c r="B153" s="289">
        <v>118.293274177342</v>
      </c>
      <c r="C153" s="289">
        <v>0.122611759756312</v>
      </c>
      <c r="D153" s="289">
        <v>0.122499966802729</v>
      </c>
      <c r="E153" s="289">
        <v>0.116561850462921</v>
      </c>
      <c r="F153" s="287">
        <v>9.1955634837710507E-2</v>
      </c>
      <c r="L153" s="86">
        <f t="shared" si="6"/>
        <v>163.69877335652399</v>
      </c>
      <c r="M153">
        <f t="shared" si="7"/>
        <v>5.2596477228198423E-3</v>
      </c>
      <c r="N153" s="80">
        <f t="shared" si="8"/>
        <v>3.5897154294070037E-3</v>
      </c>
    </row>
    <row r="154" spans="2:14">
      <c r="B154" s="289">
        <v>119.488155734689</v>
      </c>
      <c r="C154" s="289">
        <v>0.123730120218497</v>
      </c>
      <c r="D154" s="289">
        <v>0.123220111914894</v>
      </c>
      <c r="E154" s="289">
        <v>0.117565936199461</v>
      </c>
      <c r="F154" s="287">
        <v>9.2464485178430894E-2</v>
      </c>
      <c r="L154" s="86">
        <f t="shared" si="6"/>
        <v>164.89365491387099</v>
      </c>
      <c r="M154">
        <f t="shared" si="7"/>
        <v>5.284882270260121E-3</v>
      </c>
      <c r="N154" s="80">
        <f t="shared" si="8"/>
        <v>3.6065672586274083E-3</v>
      </c>
    </row>
    <row r="155" spans="2:14">
      <c r="B155" s="289">
        <v>120.683037292036</v>
      </c>
      <c r="C155" s="289">
        <v>0.124837813853587</v>
      </c>
      <c r="D155" s="289">
        <v>0.12393339797818401</v>
      </c>
      <c r="E155" s="289">
        <v>0.118557017339659</v>
      </c>
      <c r="F155" s="287">
        <v>9.2966628432227805E-2</v>
      </c>
      <c r="L155" s="86">
        <f t="shared" si="6"/>
        <v>166.08853647121799</v>
      </c>
      <c r="M155">
        <f t="shared" si="7"/>
        <v>5.3100387997931419E-3</v>
      </c>
      <c r="N155" s="80">
        <f t="shared" si="8"/>
        <v>3.6233671504199956E-3</v>
      </c>
    </row>
    <row r="156" spans="2:14">
      <c r="B156" s="289">
        <v>121.87791884938299</v>
      </c>
      <c r="C156" s="289">
        <v>0.12593502029923401</v>
      </c>
      <c r="D156" s="289">
        <v>0.12463993010667899</v>
      </c>
      <c r="E156" s="289">
        <v>0.119535529174479</v>
      </c>
      <c r="F156" s="287">
        <v>9.3462341333059695E-2</v>
      </c>
      <c r="L156" s="86">
        <f t="shared" si="6"/>
        <v>167.28341802856499</v>
      </c>
      <c r="M156">
        <f t="shared" si="7"/>
        <v>5.3351196943652503E-3</v>
      </c>
      <c r="N156" s="80">
        <f t="shared" si="8"/>
        <v>3.6401167059220375E-3</v>
      </c>
    </row>
    <row r="157" spans="2:14">
      <c r="B157" s="289">
        <v>123.07280040673</v>
      </c>
      <c r="C157" s="289">
        <v>0.12702191504655</v>
      </c>
      <c r="D157" s="289">
        <v>0.12533980583170301</v>
      </c>
      <c r="E157" s="289">
        <v>0.12050189680830301</v>
      </c>
      <c r="F157" s="287">
        <v>9.3951891055550796E-2</v>
      </c>
      <c r="L157" s="86">
        <f t="shared" si="6"/>
        <v>168.478299585911</v>
      </c>
      <c r="M157">
        <f t="shared" si="7"/>
        <v>5.3601276682505175E-3</v>
      </c>
      <c r="N157" s="80">
        <f t="shared" si="8"/>
        <v>3.6568177564401082E-3</v>
      </c>
    </row>
    <row r="158" spans="2:14">
      <c r="B158" s="289">
        <v>124.267681964077</v>
      </c>
      <c r="C158" s="289">
        <v>0.12809868445983399</v>
      </c>
      <c r="D158" s="289">
        <v>0.126033123180356</v>
      </c>
      <c r="E158" s="289">
        <v>0.12145657157519001</v>
      </c>
      <c r="F158" s="287">
        <v>9.4435557924373206E-2</v>
      </c>
      <c r="L158" s="86">
        <f t="shared" si="6"/>
        <v>169.67318114325801</v>
      </c>
      <c r="M158">
        <f t="shared" si="7"/>
        <v>5.3850647749411002E-3</v>
      </c>
      <c r="N158" s="80">
        <f t="shared" si="8"/>
        <v>3.6734716823044002E-3</v>
      </c>
    </row>
    <row r="159" spans="2:14">
      <c r="B159" s="289">
        <v>125.46256352142299</v>
      </c>
      <c r="C159" s="289">
        <v>0.12916555567299901</v>
      </c>
      <c r="D159" s="289">
        <v>0.12671999336261699</v>
      </c>
      <c r="E159" s="289">
        <v>0.122400102377429</v>
      </c>
      <c r="F159" s="287">
        <v>9.4913678604360993E-2</v>
      </c>
      <c r="L159" s="86">
        <f t="shared" si="6"/>
        <v>170.86806270060501</v>
      </c>
      <c r="M159">
        <f t="shared" si="7"/>
        <v>5.4099330155353122E-3</v>
      </c>
      <c r="N159" s="80">
        <f t="shared" si="8"/>
        <v>3.6900798290950988E-3</v>
      </c>
    </row>
    <row r="160" spans="2:14">
      <c r="B160" s="289">
        <v>126.65744507877</v>
      </c>
      <c r="C160" s="289">
        <v>0.130222720614834</v>
      </c>
      <c r="D160" s="289">
        <v>0.127400505943739</v>
      </c>
      <c r="E160" s="289">
        <v>0.123332951872998</v>
      </c>
      <c r="F160" s="287">
        <v>9.5386534630783504E-2</v>
      </c>
      <c r="L160" s="86">
        <f t="shared" si="6"/>
        <v>172.06294425795201</v>
      </c>
      <c r="M160">
        <f t="shared" si="7"/>
        <v>5.4347345418598514E-3</v>
      </c>
      <c r="N160" s="80">
        <f t="shared" si="8"/>
        <v>3.7066436450029334E-3</v>
      </c>
    </row>
    <row r="161" spans="2:14">
      <c r="B161" s="289">
        <v>127.852326636117</v>
      </c>
      <c r="C161" s="289">
        <v>0.13127036481450099</v>
      </c>
      <c r="D161" s="289">
        <v>0.12807474594069701</v>
      </c>
      <c r="E161" s="289">
        <v>0.12425556641537799</v>
      </c>
      <c r="F161" s="287">
        <v>9.5854396876539696E-2</v>
      </c>
      <c r="L161" s="86">
        <f t="shared" si="6"/>
        <v>173.25782581529899</v>
      </c>
      <c r="M161">
        <f t="shared" si="7"/>
        <v>5.4594717677701656E-3</v>
      </c>
      <c r="N161" s="80">
        <f t="shared" si="8"/>
        <v>3.7231647561068518E-3</v>
      </c>
    </row>
    <row r="162" spans="2:14">
      <c r="B162" s="289">
        <v>129.047208193464</v>
      </c>
      <c r="C162" s="289">
        <v>0.13230868327432299</v>
      </c>
      <c r="D162" s="289">
        <v>0.128742800908071</v>
      </c>
      <c r="E162" s="289">
        <v>0.125168414264581</v>
      </c>
      <c r="F162" s="287">
        <v>9.6317548628916103E-2</v>
      </c>
      <c r="L162" s="86">
        <f t="shared" si="6"/>
        <v>174.45270737264599</v>
      </c>
      <c r="M162">
        <f t="shared" si="7"/>
        <v>5.4841466222010308E-3</v>
      </c>
      <c r="N162" s="80">
        <f t="shared" si="8"/>
        <v>3.739644460014901E-3</v>
      </c>
    </row>
    <row r="163" spans="2:14">
      <c r="B163" s="289">
        <v>130.242089750811</v>
      </c>
      <c r="C163" s="289">
        <v>0.133337907612498</v>
      </c>
      <c r="D163" s="289">
        <v>0.12940477318822199</v>
      </c>
      <c r="E163" s="289">
        <v>0.12607204845263401</v>
      </c>
      <c r="F163" s="287">
        <v>9.6776324167989106E-2</v>
      </c>
      <c r="L163" s="86">
        <f t="shared" si="6"/>
        <v>175.64758892999299</v>
      </c>
      <c r="M163">
        <f t="shared" si="7"/>
        <v>5.5087610358159371E-3</v>
      </c>
      <c r="N163" s="80">
        <f t="shared" si="8"/>
        <v>3.7560840574089238E-3</v>
      </c>
    </row>
    <row r="164" spans="2:14">
      <c r="B164" s="289">
        <v>131.43697130815801</v>
      </c>
      <c r="C164" s="289">
        <v>0.13435822904788899</v>
      </c>
      <c r="D164" s="289">
        <v>0.13006074691830799</v>
      </c>
      <c r="E164" s="289">
        <v>0.126966922668032</v>
      </c>
      <c r="F164" s="287">
        <v>9.7230997807173605E-2</v>
      </c>
      <c r="L164" s="86">
        <f t="shared" si="6"/>
        <v>176.84247048733999</v>
      </c>
      <c r="M164">
        <f t="shared" si="7"/>
        <v>5.5333171954005432E-3</v>
      </c>
      <c r="N164" s="80">
        <f t="shared" si="8"/>
        <v>3.7724850265135382E-3</v>
      </c>
    </row>
    <row r="165" spans="2:14">
      <c r="B165" s="289">
        <v>132.63185286550501</v>
      </c>
      <c r="C165" s="289">
        <v>0.13536983113818499</v>
      </c>
      <c r="D165" s="289">
        <v>0.13071080309893901</v>
      </c>
      <c r="E165" s="289">
        <v>0.12785347040209699</v>
      </c>
      <c r="F165" s="287">
        <v>9.7681831843198494E-2</v>
      </c>
      <c r="L165" s="86">
        <f t="shared" si="6"/>
        <v>178.037352044687</v>
      </c>
      <c r="M165">
        <f t="shared" si="7"/>
        <v>5.5578172208247661E-3</v>
      </c>
      <c r="N165" s="80">
        <f t="shared" si="8"/>
        <v>3.7888487851135372E-3</v>
      </c>
    </row>
    <row r="166" spans="2:14">
      <c r="B166" s="289">
        <v>133.82673442285201</v>
      </c>
      <c r="C166" s="289">
        <v>0.13637290544863001</v>
      </c>
      <c r="D166" s="289">
        <v>0.13135502647273001</v>
      </c>
      <c r="E166" s="289">
        <v>0.12873214186962401</v>
      </c>
      <c r="F166" s="287">
        <v>9.8129098888389096E-2</v>
      </c>
      <c r="L166" s="86">
        <f t="shared" si="6"/>
        <v>179.23223360203301</v>
      </c>
      <c r="M166">
        <f t="shared" si="7"/>
        <v>5.5822629762962228E-3</v>
      </c>
      <c r="N166" s="80">
        <f t="shared" si="8"/>
        <v>3.8051765871853081E-3</v>
      </c>
    </row>
    <row r="167" spans="2:14">
      <c r="B167" s="289">
        <v>135.02161598019899</v>
      </c>
      <c r="C167" s="289">
        <v>0.13736767436184699</v>
      </c>
      <c r="D167" s="289">
        <v>0.13199351670596199</v>
      </c>
      <c r="E167" s="289">
        <v>0.12960345409266599</v>
      </c>
      <c r="F167" s="287">
        <v>9.8573112810658198E-2</v>
      </c>
      <c r="L167" s="86">
        <f t="shared" si="6"/>
        <v>180.42711515938001</v>
      </c>
      <c r="M167">
        <f t="shared" si="7"/>
        <v>5.6066563071484566E-3</v>
      </c>
      <c r="N167" s="80">
        <f t="shared" si="8"/>
        <v>3.8214696746093832E-3</v>
      </c>
    </row>
    <row r="168" spans="2:14">
      <c r="B168" s="289">
        <v>136.216497537545</v>
      </c>
      <c r="C168" s="289">
        <v>0.13835431833638401</v>
      </c>
      <c r="D168" s="289">
        <v>0.132626356341698</v>
      </c>
      <c r="E168" s="289">
        <v>0.130467821023761</v>
      </c>
      <c r="F168" s="287">
        <v>9.9014125747396001E-2</v>
      </c>
      <c r="L168" s="86">
        <f t="shared" si="6"/>
        <v>181.62199671672701</v>
      </c>
      <c r="M168">
        <f t="shared" si="7"/>
        <v>5.6309992192233559E-3</v>
      </c>
      <c r="N168" s="80">
        <f t="shared" si="8"/>
        <v>3.8377293973464628E-3</v>
      </c>
    </row>
    <row r="169" spans="2:14">
      <c r="B169" s="289">
        <v>137.411379094892</v>
      </c>
      <c r="C169" s="289">
        <v>0.139333009670494</v>
      </c>
      <c r="D169" s="289">
        <v>0.13325362510883099</v>
      </c>
      <c r="E169" s="289">
        <v>0.131325634456777</v>
      </c>
      <c r="F169" s="287">
        <v>9.9452376580852805E-2</v>
      </c>
      <c r="L169" s="86">
        <f t="shared" si="6"/>
        <v>182.81687827407401</v>
      </c>
      <c r="M169">
        <f t="shared" si="7"/>
        <v>5.6552940168742866E-3</v>
      </c>
      <c r="N169" s="80">
        <f t="shared" si="8"/>
        <v>3.8539573112280593E-3</v>
      </c>
    </row>
    <row r="170" spans="2:14">
      <c r="B170" s="289">
        <v>138.606260652239</v>
      </c>
      <c r="C170" s="289">
        <v>0.14030392712100001</v>
      </c>
      <c r="D170" s="289">
        <v>0.13387540674805901</v>
      </c>
      <c r="E170" s="289">
        <v>0.13217729700611999</v>
      </c>
      <c r="F170" s="287">
        <v>9.9888111057743395E-2</v>
      </c>
      <c r="L170" s="86">
        <f t="shared" si="6"/>
        <v>184.01175983142099</v>
      </c>
      <c r="M170">
        <f t="shared" si="7"/>
        <v>5.6795423632198336E-3</v>
      </c>
      <c r="N170" s="80">
        <f t="shared" si="8"/>
        <v>3.8701545289604265E-3</v>
      </c>
    </row>
    <row r="171" spans="2:14">
      <c r="B171" s="289">
        <v>139.801142209586</v>
      </c>
      <c r="C171" s="289">
        <v>0.14126727462746599</v>
      </c>
      <c r="D171" s="289">
        <v>0.13449179965765501</v>
      </c>
      <c r="E171" s="289">
        <v>0.133023258235031</v>
      </c>
      <c r="F171" s="287">
        <v>0.100321604572415</v>
      </c>
      <c r="L171" s="86">
        <f t="shared" si="6"/>
        <v>185.20664138876799</v>
      </c>
      <c r="M171">
        <f t="shared" si="7"/>
        <v>5.7037459054281436E-3</v>
      </c>
      <c r="N171" s="80">
        <f t="shared" si="8"/>
        <v>3.8863221535854484E-3</v>
      </c>
    </row>
    <row r="172" spans="2:14">
      <c r="B172" s="289">
        <v>140.99602376693301</v>
      </c>
      <c r="C172" s="289">
        <v>0.14222321536961099</v>
      </c>
      <c r="D172" s="289">
        <v>0.135102884712511</v>
      </c>
      <c r="E172" s="289">
        <v>0.133863869026278</v>
      </c>
      <c r="F172" s="287">
        <v>0.10075307224167</v>
      </c>
      <c r="L172" s="86">
        <f t="shared" si="6"/>
        <v>186.40152294611499</v>
      </c>
      <c r="M172">
        <f t="shared" si="7"/>
        <v>5.7279065069848582E-3</v>
      </c>
      <c r="N172" s="80">
        <f t="shared" si="8"/>
        <v>3.9024614373859424E-3</v>
      </c>
    </row>
    <row r="173" spans="2:14">
      <c r="B173" s="289">
        <v>142.19090532428001</v>
      </c>
      <c r="C173" s="289">
        <v>0.14317190490124701</v>
      </c>
      <c r="D173" s="289">
        <v>0.13570874033115299</v>
      </c>
      <c r="E173" s="289">
        <v>0.13469945838935099</v>
      </c>
      <c r="F173" s="287">
        <v>0.101182715915449</v>
      </c>
      <c r="L173" s="86">
        <f t="shared" si="6"/>
        <v>187.596404503462</v>
      </c>
      <c r="M173">
        <f t="shared" si="7"/>
        <v>5.7520261497789292E-3</v>
      </c>
      <c r="N173" s="80">
        <f t="shared" si="8"/>
        <v>3.9185737111476285E-3</v>
      </c>
    </row>
    <row r="174" spans="2:14">
      <c r="B174" s="289">
        <v>143.38578688162701</v>
      </c>
      <c r="C174" s="289">
        <v>0.144113504334072</v>
      </c>
      <c r="D174" s="289">
        <v>0.13630944931126901</v>
      </c>
      <c r="E174" s="289">
        <v>0.135530360682733</v>
      </c>
      <c r="F174" s="287">
        <v>0.101610740938535</v>
      </c>
      <c r="L174" s="86">
        <f t="shared" si="6"/>
        <v>188.791286060809</v>
      </c>
      <c r="M174">
        <f t="shared" si="7"/>
        <v>5.7761064552026078E-3</v>
      </c>
      <c r="N174" s="80">
        <f t="shared" si="8"/>
        <v>3.9346600654041721E-3</v>
      </c>
    </row>
    <row r="175" spans="2:14">
      <c r="B175" s="289">
        <v>144.58066843897399</v>
      </c>
      <c r="C175" s="289">
        <v>0.14504819502379501</v>
      </c>
      <c r="D175" s="289">
        <v>0.13690510789333499</v>
      </c>
      <c r="E175" s="289">
        <v>0.136356937676788</v>
      </c>
      <c r="F175" s="287">
        <v>0.10203736915615599</v>
      </c>
      <c r="L175" s="86">
        <f t="shared" si="6"/>
        <v>189.98616761815501</v>
      </c>
      <c r="M175">
        <f t="shared" si="7"/>
        <v>5.8001489622100076E-3</v>
      </c>
      <c r="N175" s="80">
        <f t="shared" si="8"/>
        <v>3.9507215333573799E-3</v>
      </c>
    </row>
    <row r="176" spans="2:14">
      <c r="B176" s="289">
        <v>145.77554999632099</v>
      </c>
      <c r="C176" s="289">
        <v>0.145976121408608</v>
      </c>
      <c r="D176" s="289">
        <v>0.13749579527570599</v>
      </c>
      <c r="E176" s="289">
        <v>0.137179464730737</v>
      </c>
      <c r="F176" s="287">
        <v>0.10246276905655501</v>
      </c>
      <c r="L176" s="86">
        <f t="shared" si="6"/>
        <v>191.18104917550201</v>
      </c>
      <c r="M176">
        <f t="shared" si="7"/>
        <v>5.8241552239906794E-3</v>
      </c>
      <c r="N176" s="80">
        <f t="shared" si="8"/>
        <v>3.9667591525881854E-3</v>
      </c>
    </row>
    <row r="177" spans="2:14">
      <c r="B177" s="289">
        <v>146.970431553667</v>
      </c>
      <c r="C177" s="289">
        <v>0.14689742148090701</v>
      </c>
      <c r="D177" s="289">
        <v>0.13808158850022101</v>
      </c>
      <c r="E177" s="289">
        <v>0.137998197412595</v>
      </c>
      <c r="F177" s="287">
        <v>0.102887096646118</v>
      </c>
      <c r="L177" s="86">
        <f>B215</f>
        <v>192.37593073284901</v>
      </c>
      <c r="M177">
        <f t="shared" si="7"/>
        <v>5.8481269335260867E-3</v>
      </c>
      <c r="N177" s="80">
        <f t="shared" si="8"/>
        <v>3.9827740582269993E-3</v>
      </c>
    </row>
    <row r="178" spans="2:14">
      <c r="B178" s="289">
        <v>148.165313111014</v>
      </c>
      <c r="C178" s="289">
        <v>0.14781223853196601</v>
      </c>
      <c r="D178" s="289">
        <v>0.13866256924675499</v>
      </c>
      <c r="E178" s="289">
        <v>0.13881339205854701</v>
      </c>
      <c r="F178" s="287">
        <v>0.103310507964195</v>
      </c>
      <c r="L178" s="86">
        <f t="shared" ref="L178:L215" si="9">B216</f>
        <v>193.57081229019599</v>
      </c>
      <c r="M178">
        <f t="shared" si="7"/>
        <v>5.8720654052387359E-3</v>
      </c>
      <c r="N178" s="80">
        <f t="shared" si="8"/>
        <v>3.9987671306501342E-3</v>
      </c>
    </row>
    <row r="179" spans="2:14">
      <c r="B179" s="289">
        <v>149.360194668361</v>
      </c>
      <c r="C179" s="289">
        <v>0.14872073352278101</v>
      </c>
      <c r="D179" s="289">
        <v>0.13923883249659799</v>
      </c>
      <c r="E179" s="289">
        <v>0.139625317136328</v>
      </c>
      <c r="F179" s="287">
        <v>0.10373316493698601</v>
      </c>
      <c r="L179" s="86">
        <f t="shared" si="9"/>
        <v>194.76569384754299</v>
      </c>
      <c r="M179">
        <f t="shared" si="7"/>
        <v>5.8959719028259007E-3</v>
      </c>
      <c r="N179" s="80">
        <f t="shared" si="8"/>
        <v>4.0147392162251053E-3</v>
      </c>
    </row>
    <row r="180" spans="2:14">
      <c r="B180" s="289">
        <v>150.55507622570801</v>
      </c>
      <c r="C180" s="289">
        <v>0.14962303540768701</v>
      </c>
      <c r="D180" s="289">
        <v>0.139810456883986</v>
      </c>
      <c r="E180" s="289">
        <v>0.14043417191771301</v>
      </c>
      <c r="F180" s="287">
        <v>0.104155186367538</v>
      </c>
      <c r="L180" s="86">
        <f t="shared" si="9"/>
        <v>195.96057540488999</v>
      </c>
      <c r="M180">
        <f t="shared" si="7"/>
        <v>5.9198477420417447E-3</v>
      </c>
      <c r="N180" s="80">
        <f t="shared" si="8"/>
        <v>4.0306911948712028E-3</v>
      </c>
    </row>
    <row r="181" spans="2:14">
      <c r="B181" s="289">
        <v>151.74995778305501</v>
      </c>
      <c r="C181" s="289">
        <v>0.150519268364949</v>
      </c>
      <c r="D181" s="289">
        <v>0.14037751943312901</v>
      </c>
      <c r="E181" s="289">
        <v>0.14124013952157999</v>
      </c>
      <c r="F181" s="287">
        <v>0.10457668042675999</v>
      </c>
      <c r="L181" s="86">
        <f t="shared" si="9"/>
        <v>197.155456962237</v>
      </c>
      <c r="M181">
        <f t="shared" si="7"/>
        <v>5.9436945532065008E-3</v>
      </c>
      <c r="N181" s="80">
        <f t="shared" si="8"/>
        <v>4.0466241743376506E-3</v>
      </c>
    </row>
    <row r="182" spans="2:14">
      <c r="B182" s="289">
        <v>152.94483934040201</v>
      </c>
      <c r="C182" s="289">
        <v>0.151409562583633</v>
      </c>
      <c r="D182" s="289">
        <v>0.140940102500066</v>
      </c>
      <c r="E182" s="289">
        <v>0.14204340110048</v>
      </c>
      <c r="F182" s="287">
        <v>0.104997752822988</v>
      </c>
      <c r="L182" s="86">
        <f t="shared" si="9"/>
        <v>198.350338519584</v>
      </c>
      <c r="M182">
        <f t="shared" si="7"/>
        <v>5.9675133073194856E-3</v>
      </c>
      <c r="N182" s="80">
        <f t="shared" si="8"/>
        <v>4.0625388013308689E-3</v>
      </c>
    </row>
    <row r="183" spans="2:14">
      <c r="B183" s="289">
        <v>154.13972089774899</v>
      </c>
      <c r="C183" s="289">
        <v>0.15229406579689</v>
      </c>
      <c r="D183" s="289">
        <v>0.141498302723123</v>
      </c>
      <c r="E183" s="289">
        <v>0.14284414057449299</v>
      </c>
      <c r="F183" s="287">
        <v>0.10541850806636301</v>
      </c>
      <c r="L183" s="86">
        <f t="shared" si="9"/>
        <v>199.545220076931</v>
      </c>
      <c r="M183">
        <f t="shared" si="7"/>
        <v>5.9913048843383962E-3</v>
      </c>
      <c r="N183" s="80">
        <f t="shared" si="8"/>
        <v>4.0784356594109816E-3</v>
      </c>
    </row>
    <row r="184" spans="2:14">
      <c r="B184" s="289">
        <v>155.33460245509599</v>
      </c>
      <c r="C184" s="289">
        <v>0.153172898245756</v>
      </c>
      <c r="D184" s="289">
        <v>0.142052201015333</v>
      </c>
      <c r="E184" s="289">
        <v>0.14364249159723799</v>
      </c>
      <c r="F184" s="287">
        <v>0.105839019568069</v>
      </c>
      <c r="L184" s="86">
        <f t="shared" si="9"/>
        <v>200.74010163427701</v>
      </c>
      <c r="M184">
        <f t="shared" si="7"/>
        <v>6.0150701591701501E-3</v>
      </c>
      <c r="N184" s="80">
        <f t="shared" si="8"/>
        <v>4.0943153262021879E-3</v>
      </c>
    </row>
    <row r="185" spans="2:14">
      <c r="B185" s="289">
        <v>156.52948401244299</v>
      </c>
      <c r="C185" s="289">
        <v>0.15404617713833099</v>
      </c>
      <c r="D185" s="289">
        <v>0.14260187737920901</v>
      </c>
      <c r="E185" s="289">
        <v>0.14443857610115801</v>
      </c>
      <c r="F185" s="287">
        <v>0.1062593526949</v>
      </c>
      <c r="L185" s="86">
        <f t="shared" si="9"/>
        <v>201.93498319162401</v>
      </c>
      <c r="M185">
        <f t="shared" si="7"/>
        <v>6.0388102603687859E-3</v>
      </c>
      <c r="N185" s="80">
        <f t="shared" si="8"/>
        <v>4.1101785649861481E-3</v>
      </c>
    </row>
    <row r="186" spans="2:14">
      <c r="B186" s="289">
        <v>157.724365569789</v>
      </c>
      <c r="C186" s="289">
        <v>0.15491402725303499</v>
      </c>
      <c r="D186" s="289">
        <v>0.14314741839449799</v>
      </c>
      <c r="E186" s="289">
        <v>0.14523251339496601</v>
      </c>
      <c r="F186" s="287">
        <v>0.106679569233655</v>
      </c>
      <c r="L186" s="86">
        <f t="shared" si="9"/>
        <v>203.12986474897099</v>
      </c>
      <c r="M186">
        <f t="shared" si="7"/>
        <v>6.062525734045747E-3</v>
      </c>
      <c r="N186" s="80">
        <f t="shared" si="8"/>
        <v>4.1260257304929562E-3</v>
      </c>
    </row>
    <row r="187" spans="2:14">
      <c r="B187" s="289">
        <v>158.919247127136</v>
      </c>
      <c r="C187" s="289">
        <v>0.15577659236771499</v>
      </c>
      <c r="D187" s="289">
        <v>0.14368892650943099</v>
      </c>
      <c r="E187" s="289">
        <v>0.14602442178952299</v>
      </c>
      <c r="F187" s="287">
        <v>0.10709972621085299</v>
      </c>
      <c r="L187" s="86">
        <f t="shared" si="9"/>
        <v>204.32474630631799</v>
      </c>
      <c r="M187">
        <f t="shared" si="7"/>
        <v>6.0862171130177146E-3</v>
      </c>
      <c r="N187" s="80">
        <f t="shared" si="8"/>
        <v>4.1418571704787029E-3</v>
      </c>
    </row>
    <row r="188" spans="2:14">
      <c r="B188" s="289">
        <v>160.11412868448301</v>
      </c>
      <c r="C188" s="289">
        <v>0.156633991526511</v>
      </c>
      <c r="D188" s="289">
        <v>0.14422648829402901</v>
      </c>
      <c r="E188" s="289">
        <v>0.14681438637000599</v>
      </c>
      <c r="F188" s="287">
        <v>0.107519861086323</v>
      </c>
      <c r="L188" s="86">
        <f t="shared" si="9"/>
        <v>205.51962786366499</v>
      </c>
      <c r="M188">
        <f t="shared" si="7"/>
        <v>6.1098851016668787E-3</v>
      </c>
      <c r="N188" s="80">
        <f t="shared" si="8"/>
        <v>4.1576733562346127E-3</v>
      </c>
    </row>
    <row r="189" spans="2:14">
      <c r="B189" s="289">
        <v>161.30901024183001</v>
      </c>
      <c r="C189" s="289">
        <v>0.15748634209165799</v>
      </c>
      <c r="D189" s="289">
        <v>0.144760189954525</v>
      </c>
      <c r="E189" s="289">
        <v>0.14760248471780199</v>
      </c>
      <c r="F189" s="287">
        <v>0.107940005948992</v>
      </c>
      <c r="L189" s="86">
        <f t="shared" si="9"/>
        <v>206.714509421012</v>
      </c>
      <c r="M189">
        <f t="shared" si="7"/>
        <v>6.1335305946053969E-3</v>
      </c>
      <c r="N189" s="80">
        <f t="shared" si="8"/>
        <v>4.1734749012101542E-3</v>
      </c>
    </row>
    <row r="190" spans="2:14">
      <c r="B190" s="289">
        <v>162.50389179917701</v>
      </c>
      <c r="C190" s="289">
        <v>0.15833377089321801</v>
      </c>
      <c r="D190" s="289">
        <v>0.14529012574254799</v>
      </c>
      <c r="E190" s="289">
        <v>0.14838879261729501</v>
      </c>
      <c r="F190" s="287">
        <v>0.10836018928053399</v>
      </c>
      <c r="L190" s="86">
        <f t="shared" si="9"/>
        <v>207.909390978359</v>
      </c>
      <c r="M190">
        <f t="shared" si="7"/>
        <v>6.1571540452793946E-3</v>
      </c>
      <c r="N190" s="80">
        <f t="shared" si="8"/>
        <v>4.1892621074026016E-3</v>
      </c>
    </row>
    <row r="191" spans="2:14">
      <c r="B191" s="289">
        <v>163.69877335652399</v>
      </c>
      <c r="C191" s="289">
        <v>0.15917642539108001</v>
      </c>
      <c r="D191" s="289">
        <v>0.14581640716126601</v>
      </c>
      <c r="E191" s="289">
        <v>0.14917338477215999</v>
      </c>
      <c r="F191" s="287">
        <v>0.108780433838565</v>
      </c>
      <c r="L191" s="86">
        <f t="shared" si="9"/>
        <v>209.104272535706</v>
      </c>
      <c r="M191">
        <f t="shared" si="7"/>
        <v>6.1807557663940841E-3</v>
      </c>
      <c r="N191" s="80">
        <f t="shared" si="8"/>
        <v>4.2050351770760736E-3</v>
      </c>
    </row>
    <row r="192" spans="2:14">
      <c r="B192" s="289">
        <v>164.89365491387099</v>
      </c>
      <c r="C192" s="289">
        <v>0.16001442886665401</v>
      </c>
      <c r="D192" s="289">
        <v>0.14633912864524601</v>
      </c>
      <c r="E192" s="289">
        <v>0.14995631545862001</v>
      </c>
      <c r="F192" s="287">
        <v>0.109200752211531</v>
      </c>
      <c r="L192" s="86">
        <f t="shared" si="9"/>
        <v>210.299154093053</v>
      </c>
      <c r="M192">
        <f t="shared" si="7"/>
        <v>6.2043358127351813E-3</v>
      </c>
      <c r="N192" s="80">
        <f t="shared" si="8"/>
        <v>4.2207941265894767E-3</v>
      </c>
    </row>
    <row r="193" spans="2:14">
      <c r="B193" s="289">
        <v>166.08853647121799</v>
      </c>
      <c r="C193" s="289">
        <v>0.16084790358004</v>
      </c>
      <c r="D193" s="289">
        <v>0.14685838436846099</v>
      </c>
      <c r="E193" s="289">
        <v>0.150737634704527</v>
      </c>
      <c r="F193" s="287">
        <v>0.109621153836161</v>
      </c>
      <c r="L193" s="86">
        <f t="shared" si="9"/>
        <v>211.49403565039901</v>
      </c>
      <c r="M193">
        <f t="shared" si="7"/>
        <v>6.2278945429135512E-3</v>
      </c>
      <c r="N193" s="80">
        <f t="shared" si="8"/>
        <v>4.2365391957586368E-3</v>
      </c>
    </row>
    <row r="194" spans="2:14">
      <c r="B194" s="289">
        <v>167.28341802856499</v>
      </c>
      <c r="C194" s="289">
        <v>0.161676982846541</v>
      </c>
      <c r="D194" s="289">
        <v>0.14737427658313901</v>
      </c>
      <c r="E194" s="289">
        <v>0.151517392113765</v>
      </c>
      <c r="F194" s="287">
        <v>0.110041645027431</v>
      </c>
      <c r="L194" s="86">
        <f t="shared" si="9"/>
        <v>212.68891720774599</v>
      </c>
      <c r="M194">
        <f t="shared" si="7"/>
        <v>6.2514321680211199E-3</v>
      </c>
      <c r="N194" s="80">
        <f t="shared" si="8"/>
        <v>4.2522705236914026E-3</v>
      </c>
    </row>
    <row r="195" spans="2:14">
      <c r="B195" s="289">
        <v>168.478299585911</v>
      </c>
      <c r="C195" s="289">
        <v>0.16250182125375601</v>
      </c>
      <c r="D195" s="289">
        <v>0.14788694253024401</v>
      </c>
      <c r="E195" s="289">
        <v>0.152295637703595</v>
      </c>
      <c r="F195" s="287">
        <v>0.110462227007994</v>
      </c>
      <c r="L195" s="86">
        <f t="shared" si="9"/>
        <v>213.88379876509299</v>
      </c>
      <c r="M195">
        <f t="shared" si="7"/>
        <v>6.2749488697669319E-3</v>
      </c>
      <c r="N195" s="80">
        <f t="shared" si="8"/>
        <v>4.2679882298605528E-3</v>
      </c>
    </row>
    <row r="196" spans="2:14">
      <c r="B196" s="289">
        <v>169.67318114325801</v>
      </c>
      <c r="C196" s="289">
        <v>0.16332254794458401</v>
      </c>
      <c r="D196" s="289">
        <v>0.14839647999684</v>
      </c>
      <c r="E196" s="289">
        <v>0.153072409085798</v>
      </c>
      <c r="F196" s="287">
        <v>0.11088289729627999</v>
      </c>
      <c r="L196" s="86">
        <f t="shared" si="9"/>
        <v>215.07868032243999</v>
      </c>
      <c r="M196">
        <f t="shared" si="7"/>
        <v>6.2984447898484994E-3</v>
      </c>
      <c r="N196" s="80">
        <f t="shared" si="8"/>
        <v>4.2836924056671522E-3</v>
      </c>
    </row>
    <row r="197" spans="2:14">
      <c r="B197" s="289">
        <v>170.86806270060501</v>
      </c>
      <c r="C197" s="289">
        <v>0.164139291031656</v>
      </c>
      <c r="D197" s="289">
        <v>0.14890298713910999</v>
      </c>
      <c r="E197" s="289">
        <v>0.15384774172503199</v>
      </c>
      <c r="F197" s="287">
        <v>0.11130365184617499</v>
      </c>
      <c r="L197" s="86">
        <f t="shared" si="9"/>
        <v>216.273561879787</v>
      </c>
      <c r="M197">
        <f t="shared" si="7"/>
        <v>6.3219201865692314E-3</v>
      </c>
      <c r="N197" s="80">
        <f t="shared" si="8"/>
        <v>4.2993832307452098E-3</v>
      </c>
    </row>
    <row r="198" spans="2:14">
      <c r="B198" s="289">
        <v>172.06294425795201</v>
      </c>
      <c r="C198" s="289">
        <v>0.16495219056659799</v>
      </c>
      <c r="D198" s="289">
        <v>0.149406574554341</v>
      </c>
      <c r="E198" s="289">
        <v>0.15462167193733301</v>
      </c>
      <c r="F198" s="287">
        <v>0.111724484129993</v>
      </c>
      <c r="L198" s="86">
        <f t="shared" si="9"/>
        <v>217.468443437134</v>
      </c>
      <c r="M198">
        <f t="shared" si="7"/>
        <v>6.345375229321739E-3</v>
      </c>
      <c r="N198" s="80">
        <f t="shared" si="8"/>
        <v>4.3150608230593732E-3</v>
      </c>
    </row>
    <row r="199" spans="2:14">
      <c r="B199" s="289">
        <v>173.25782581529899</v>
      </c>
      <c r="C199" s="289">
        <v>0.16576140679857901</v>
      </c>
      <c r="D199" s="289">
        <v>0.14990737344657601</v>
      </c>
      <c r="E199" s="289">
        <v>0.15539423792770701</v>
      </c>
      <c r="F199" s="287">
        <v>0.112145383680215</v>
      </c>
      <c r="L199" s="86">
        <f t="shared" si="9"/>
        <v>218.663324994481</v>
      </c>
      <c r="M199">
        <f t="shared" si="7"/>
        <v>6.3688100054629382E-3</v>
      </c>
      <c r="N199" s="80">
        <f t="shared" si="8"/>
        <v>4.3307252421293648E-3</v>
      </c>
    </row>
    <row r="200" spans="2:14">
      <c r="B200" s="289">
        <v>174.45270737264599</v>
      </c>
      <c r="C200" s="289">
        <v>0.16656707251424899</v>
      </c>
      <c r="D200" s="289">
        <v>0.15040548800940601</v>
      </c>
      <c r="E200" s="289">
        <v>0.156165469691954</v>
      </c>
      <c r="F200" s="287">
        <v>0.11256634022251</v>
      </c>
      <c r="L200" s="86">
        <f t="shared" si="9"/>
        <v>219.858206551828</v>
      </c>
      <c r="M200">
        <f t="shared" si="7"/>
        <v>6.3922243585394327E-3</v>
      </c>
      <c r="N200" s="80">
        <f t="shared" si="8"/>
        <v>4.3463763716084097E-3</v>
      </c>
    </row>
    <row r="201" spans="2:14">
      <c r="B201" s="289">
        <v>175.64758892999299</v>
      </c>
      <c r="C201" s="289">
        <v>0.16736931895557899</v>
      </c>
      <c r="D201" s="289">
        <v>0.15090102724045801</v>
      </c>
      <c r="E201" s="289">
        <v>0.15693539618588201</v>
      </c>
      <c r="F201" s="287">
        <v>0.112987342896047</v>
      </c>
      <c r="L201" s="86">
        <f t="shared" si="9"/>
        <v>221.05308810917501</v>
      </c>
      <c r="M201">
        <f t="shared" si="7"/>
        <v>6.4156182623802994E-3</v>
      </c>
      <c r="N201" s="80">
        <f t="shared" si="8"/>
        <v>4.3620141952762136E-3</v>
      </c>
    </row>
    <row r="202" spans="2:14">
      <c r="B202" s="289">
        <v>176.84247048733999</v>
      </c>
      <c r="C202" s="289">
        <v>0.168168289244295</v>
      </c>
      <c r="D202" s="289">
        <v>0.15139412527680199</v>
      </c>
      <c r="E202" s="289">
        <v>0.15770404804865701</v>
      </c>
      <c r="F202" s="287">
        <v>0.113408378891767</v>
      </c>
      <c r="L202" s="86">
        <f t="shared" si="9"/>
        <v>222.24796966652099</v>
      </c>
      <c r="M202">
        <f t="shared" si="7"/>
        <v>6.4389918332119498E-3</v>
      </c>
      <c r="N202" s="80">
        <f t="shared" si="8"/>
        <v>4.3776387963624522E-3</v>
      </c>
    </row>
    <row r="203" spans="2:14">
      <c r="B203" s="289">
        <v>178.037352044687</v>
      </c>
      <c r="C203" s="289">
        <v>0.16896414387088299</v>
      </c>
      <c r="D203" s="289">
        <v>0.151884887664993</v>
      </c>
      <c r="E203" s="289">
        <v>0.15847145861859999</v>
      </c>
      <c r="F203" s="287">
        <v>0.113829432687073</v>
      </c>
      <c r="L203" s="86">
        <f t="shared" si="9"/>
        <v>223.44285122386799</v>
      </c>
      <c r="M203">
        <f t="shared" si="7"/>
        <v>6.4623451110146241E-3</v>
      </c>
      <c r="N203" s="80">
        <f t="shared" si="8"/>
        <v>4.3932502034094252E-3</v>
      </c>
    </row>
    <row r="204" spans="2:14">
      <c r="B204" s="289">
        <v>179.23223360203301</v>
      </c>
      <c r="C204" s="289">
        <v>0.16975701417869701</v>
      </c>
      <c r="D204" s="289">
        <v>0.152373421227293</v>
      </c>
      <c r="E204" s="289">
        <v>0.15923765479180699</v>
      </c>
      <c r="F204" s="287">
        <v>0.11425049099310999</v>
      </c>
      <c r="L204" s="86">
        <f t="shared" si="9"/>
        <v>224.63773278121499</v>
      </c>
      <c r="M204">
        <f t="shared" si="7"/>
        <v>6.4856777380554089E-3</v>
      </c>
      <c r="N204" s="80">
        <f t="shared" si="8"/>
        <v>4.408848160416692E-3</v>
      </c>
    </row>
    <row r="205" spans="2:14">
      <c r="B205" s="289">
        <v>180.42711515938001</v>
      </c>
      <c r="C205" s="289">
        <v>0.17054702920568199</v>
      </c>
      <c r="D205" s="289">
        <v>0.15285983344846699</v>
      </c>
      <c r="E205" s="289">
        <v>0.16000266287426601</v>
      </c>
      <c r="F205" s="287">
        <v>0.114671540508547</v>
      </c>
      <c r="L205" s="86">
        <f t="shared" si="9"/>
        <v>225.832614338562</v>
      </c>
      <c r="M205">
        <f t="shared" si="7"/>
        <v>6.5089896872046922E-3</v>
      </c>
      <c r="N205" s="80">
        <f t="shared" si="8"/>
        <v>4.4244326517547195E-3</v>
      </c>
    </row>
    <row r="206" spans="2:14">
      <c r="B206" s="289">
        <v>181.62199671672701</v>
      </c>
      <c r="C206" s="289">
        <v>0.17133432889210401</v>
      </c>
      <c r="D206" s="289">
        <v>0.15334424224783899</v>
      </c>
      <c r="E206" s="289">
        <v>0.16076651124007599</v>
      </c>
      <c r="F206" s="287">
        <v>0.115092566471253</v>
      </c>
      <c r="L206" s="86">
        <f t="shared" si="9"/>
        <v>227.027495895909</v>
      </c>
      <c r="M206">
        <f t="shared" si="7"/>
        <v>6.5322809392483481E-3</v>
      </c>
      <c r="N206" s="80">
        <f t="shared" si="8"/>
        <v>4.4400036673400058E-3</v>
      </c>
    </row>
    <row r="207" spans="2:14">
      <c r="B207" s="289">
        <v>182.81687827407401</v>
      </c>
      <c r="C207" s="289">
        <v>0.17211906625095899</v>
      </c>
      <c r="D207" s="289">
        <v>0.15382679308452801</v>
      </c>
      <c r="E207" s="289">
        <v>0.161529230915956</v>
      </c>
      <c r="F207" s="287">
        <v>0.115513552352841</v>
      </c>
      <c r="L207" s="86">
        <f t="shared" si="9"/>
        <v>228.222377453256</v>
      </c>
      <c r="M207">
        <f t="shared" si="7"/>
        <v>6.5555514650279048E-3</v>
      </c>
      <c r="N207" s="80">
        <f t="shared" si="8"/>
        <v>4.4555611907680891E-3</v>
      </c>
    </row>
    <row r="208" spans="2:14">
      <c r="B208" s="289">
        <v>184.01175983142099</v>
      </c>
      <c r="C208" s="289">
        <v>0.17290136463147401</v>
      </c>
      <c r="D208" s="289">
        <v>0.15430757449530799</v>
      </c>
      <c r="E208" s="289">
        <v>0.16229084704761701</v>
      </c>
      <c r="F208" s="287">
        <v>0.115934484666643</v>
      </c>
      <c r="L208" s="86">
        <f t="shared" si="9"/>
        <v>229.417259010603</v>
      </c>
      <c r="M208">
        <f t="shared" si="7"/>
        <v>6.5788011869444812E-3</v>
      </c>
      <c r="N208" s="80">
        <f t="shared" si="8"/>
        <v>4.4711051747422714E-3</v>
      </c>
    </row>
    <row r="209" spans="2:14">
      <c r="B209" s="289">
        <v>185.20664138876799</v>
      </c>
      <c r="C209" s="289">
        <v>0.17368134427853599</v>
      </c>
      <c r="D209" s="289">
        <v>0.15478667633134299</v>
      </c>
      <c r="E209" s="289">
        <v>0.16305138425125201</v>
      </c>
      <c r="F209" s="287">
        <v>0.116355350195071</v>
      </c>
      <c r="L209" s="86">
        <f t="shared" si="9"/>
        <v>230.61214056795001</v>
      </c>
      <c r="M209">
        <f t="shared" ref="M209:M215" si="10">$D$17/$D$15*C247+$D$19/$D$15*D247+$D$21/$D$15*E247+$D$23/$D$15*F247</f>
        <v>6.6020298290523048E-3</v>
      </c>
      <c r="N209" s="80">
        <f t="shared" ref="N209:N215" si="11">$D$16/$D$14*C247+$D$18/$D$14*D247+$D$20/$D$14*E247+$D$22/$D$14*F247</f>
        <v>4.4866354218658878E-3</v>
      </c>
    </row>
    <row r="210" spans="2:14">
      <c r="B210" s="289">
        <v>186.40152294611499</v>
      </c>
      <c r="C210" s="289">
        <v>0.17445913451955999</v>
      </c>
      <c r="D210" s="289">
        <v>0.155264208291435</v>
      </c>
      <c r="E210" s="289">
        <v>0.16381086915969101</v>
      </c>
      <c r="F210" s="287">
        <v>0.116776134625</v>
      </c>
      <c r="L210" s="86">
        <f t="shared" si="9"/>
        <v>231.80702212529701</v>
      </c>
      <c r="M210">
        <f t="shared" si="10"/>
        <v>6.6252373629094715E-3</v>
      </c>
      <c r="N210" s="80">
        <f t="shared" si="11"/>
        <v>4.5021519160029066E-3</v>
      </c>
    </row>
    <row r="211" spans="2:14">
      <c r="B211" s="289">
        <v>187.596404503462</v>
      </c>
      <c r="C211" s="289">
        <v>0.175234872701756</v>
      </c>
      <c r="D211" s="289">
        <v>0.15574028633293599</v>
      </c>
      <c r="E211" s="289">
        <v>0.16456933041855801</v>
      </c>
      <c r="F211" s="287">
        <v>0.117196822647176</v>
      </c>
      <c r="L211" s="86">
        <f t="shared" si="9"/>
        <v>233.00190368264299</v>
      </c>
      <c r="M211">
        <f t="shared" si="10"/>
        <v>6.648423831024132E-3</v>
      </c>
      <c r="N211" s="80">
        <f t="shared" si="11"/>
        <v>4.517654695711251E-3</v>
      </c>
    </row>
    <row r="212" spans="2:14">
      <c r="B212" s="289">
        <v>188.791286060809</v>
      </c>
      <c r="C212" s="289">
        <v>0.176008667647194</v>
      </c>
      <c r="D212" s="289">
        <v>0.156215009067703</v>
      </c>
      <c r="E212" s="289">
        <v>0.16532679099681499</v>
      </c>
      <c r="F212" s="287">
        <v>0.117617402071672</v>
      </c>
      <c r="L212" s="86">
        <f t="shared" si="9"/>
        <v>234.19678523998999</v>
      </c>
      <c r="M212">
        <f t="shared" si="10"/>
        <v>6.6715894386542955E-3</v>
      </c>
      <c r="N212" s="80">
        <f t="shared" si="11"/>
        <v>4.5331439347170693E-3</v>
      </c>
    </row>
    <row r="213" spans="2:14">
      <c r="B213" s="289">
        <v>189.98616761815501</v>
      </c>
      <c r="C213" s="289">
        <v>0.17678062444623799</v>
      </c>
      <c r="D213" s="289">
        <v>0.15668846737731201</v>
      </c>
      <c r="E213" s="289">
        <v>0.16608327323174299</v>
      </c>
      <c r="F213" s="287">
        <v>0.118037861091234</v>
      </c>
      <c r="L213" s="86">
        <f t="shared" si="9"/>
        <v>235.391666797337</v>
      </c>
      <c r="M213">
        <f t="shared" si="10"/>
        <v>6.6947339101145953E-3</v>
      </c>
      <c r="N213" s="80">
        <f t="shared" si="11"/>
        <v>4.5486194162444689E-3</v>
      </c>
    </row>
    <row r="214" spans="2:14">
      <c r="B214" s="289">
        <v>191.18104917550201</v>
      </c>
      <c r="C214" s="289">
        <v>0.177550854884445</v>
      </c>
      <c r="D214" s="289">
        <v>0.15716074502868899</v>
      </c>
      <c r="E214" s="289">
        <v>0.16683880112087701</v>
      </c>
      <c r="F214" s="287">
        <v>0.118458187094935</v>
      </c>
      <c r="L214" s="86">
        <f t="shared" si="9"/>
        <v>236.586548354684</v>
      </c>
      <c r="M214">
        <f t="shared" si="10"/>
        <v>6.7178563712472442E-3</v>
      </c>
      <c r="N214" s="80">
        <f t="shared" si="11"/>
        <v>4.564080573443618E-3</v>
      </c>
    </row>
    <row r="215" spans="2:14">
      <c r="B215" s="289">
        <v>192.37593073284901</v>
      </c>
      <c r="C215" s="289">
        <v>0.17831947378145899</v>
      </c>
      <c r="D215" s="289">
        <v>0.15763194127432301</v>
      </c>
      <c r="E215" s="289">
        <v>0.16759339971138101</v>
      </c>
      <c r="F215" s="287">
        <v>0.118878367026807</v>
      </c>
      <c r="L215" s="87">
        <f t="shared" si="9"/>
        <v>237.781429912031</v>
      </c>
      <c r="M215" s="81">
        <f t="shared" si="10"/>
        <v>6.7409595388925256E-3</v>
      </c>
      <c r="N215" s="82">
        <f t="shared" si="11"/>
        <v>4.5795291803121235E-3</v>
      </c>
    </row>
    <row r="216" spans="2:14">
      <c r="B216" s="289">
        <v>193.57081229019599</v>
      </c>
      <c r="C216" s="289">
        <v>0.17908657035172801</v>
      </c>
      <c r="D216" s="289">
        <v>0.158102132414599</v>
      </c>
      <c r="E216" s="289">
        <v>0.16834708871988699</v>
      </c>
      <c r="F216" s="287">
        <v>0.119298390653627</v>
      </c>
    </row>
    <row r="217" spans="2:14">
      <c r="B217" s="289">
        <v>194.76569384754299</v>
      </c>
      <c r="C217" s="289">
        <v>0.17985222976863799</v>
      </c>
      <c r="D217" s="289">
        <v>0.15857139221720101</v>
      </c>
      <c r="E217" s="289">
        <v>0.16909988711247101</v>
      </c>
      <c r="F217" s="287">
        <v>0.119718248144287</v>
      </c>
    </row>
    <row r="218" spans="2:14">
      <c r="B218" s="289">
        <v>195.96057540488999</v>
      </c>
      <c r="C218" s="289">
        <v>0.18061653994215601</v>
      </c>
      <c r="D218" s="289">
        <v>0.15903979717098099</v>
      </c>
      <c r="E218" s="289">
        <v>0.169851814988593</v>
      </c>
      <c r="F218" s="287">
        <v>0.120137929097323</v>
      </c>
    </row>
    <row r="219" spans="2:14" ht="18.75">
      <c r="B219" s="289">
        <v>197.155456962237</v>
      </c>
      <c r="C219" s="289">
        <v>0.18137960333120701</v>
      </c>
      <c r="D219" s="289">
        <v>0.15950745871836799</v>
      </c>
      <c r="E219" s="289">
        <v>0.170602892535134</v>
      </c>
      <c r="F219" s="287">
        <v>0.12055742304110099</v>
      </c>
      <c r="L219" s="248" t="s">
        <v>497</v>
      </c>
    </row>
    <row r="220" spans="2:14">
      <c r="B220" s="289">
        <v>198.350338519584</v>
      </c>
      <c r="C220" s="289">
        <v>0.18214148715977099</v>
      </c>
      <c r="D220" s="289">
        <v>0.15997442987498101</v>
      </c>
      <c r="E220" s="289">
        <v>0.171353135275889</v>
      </c>
      <c r="F220" s="287">
        <v>0.120976721867813</v>
      </c>
    </row>
    <row r="221" spans="2:14">
      <c r="B221" s="289">
        <v>199.545220076931</v>
      </c>
      <c r="C221" s="289">
        <v>0.18290225345028999</v>
      </c>
      <c r="D221" s="289">
        <v>0.160440756254354</v>
      </c>
      <c r="E221" s="289">
        <v>0.17210255793451501</v>
      </c>
      <c r="F221" s="287">
        <v>0.121395817843829</v>
      </c>
    </row>
    <row r="222" spans="2:14">
      <c r="B222" s="289">
        <v>200.74010163427701</v>
      </c>
      <c r="C222" s="289">
        <v>0.18366196595005099</v>
      </c>
      <c r="D222" s="289">
        <v>0.16090648003800201</v>
      </c>
      <c r="E222" s="289">
        <v>0.17285117581781001</v>
      </c>
      <c r="F222" s="287">
        <v>0.12181470285488501</v>
      </c>
    </row>
    <row r="223" spans="2:14">
      <c r="B223" s="289">
        <v>201.93498319162401</v>
      </c>
      <c r="C223" s="289">
        <v>0.18442068567185399</v>
      </c>
      <c r="D223" s="289">
        <v>0.16137168424475201</v>
      </c>
      <c r="E223" s="289">
        <v>0.17359900360201899</v>
      </c>
      <c r="F223" s="287">
        <v>0.122233368955407</v>
      </c>
    </row>
    <row r="224" spans="2:14">
      <c r="B224" s="289">
        <v>203.12986474897099</v>
      </c>
      <c r="C224" s="289">
        <v>0.185178452382014</v>
      </c>
      <c r="D224" s="289">
        <v>0.16183639188063201</v>
      </c>
      <c r="E224" s="289">
        <v>0.174346052255304</v>
      </c>
      <c r="F224" s="287">
        <v>0.122651810064294</v>
      </c>
    </row>
    <row r="225" spans="2:21">
      <c r="B225" s="289">
        <v>204.32474630631799</v>
      </c>
      <c r="C225" s="289">
        <v>0.18593530390898599</v>
      </c>
      <c r="D225" s="289">
        <v>0.162300627385873</v>
      </c>
      <c r="E225" s="289">
        <v>0.17509233199257501</v>
      </c>
      <c r="F225" s="287">
        <v>0.123070020426244</v>
      </c>
    </row>
    <row r="226" spans="2:21">
      <c r="B226" s="289">
        <v>205.51962786366499</v>
      </c>
      <c r="C226" s="289">
        <v>0.18669128001642499</v>
      </c>
      <c r="D226" s="289">
        <v>0.16276443866093299</v>
      </c>
      <c r="E226" s="289">
        <v>0.175837853150801</v>
      </c>
      <c r="F226" s="287">
        <v>0.12348799406218799</v>
      </c>
    </row>
    <row r="227" spans="2:21">
      <c r="B227" s="289">
        <v>206.714509421012</v>
      </c>
      <c r="C227" s="289">
        <v>0.18744645613913299</v>
      </c>
      <c r="D227" s="289">
        <v>0.16322787746017101</v>
      </c>
      <c r="E227" s="289">
        <v>0.17658262506816799</v>
      </c>
      <c r="F227" s="287">
        <v>0.12390572529145</v>
      </c>
    </row>
    <row r="228" spans="2:21">
      <c r="B228" s="289">
        <v>207.909390978359</v>
      </c>
      <c r="C228" s="289">
        <v>0.188200842847844</v>
      </c>
      <c r="D228" s="289">
        <v>0.163690985988409</v>
      </c>
      <c r="E228" s="289">
        <v>0.177326654454248</v>
      </c>
      <c r="F228" s="287">
        <v>0.12432320982690501</v>
      </c>
    </row>
    <row r="229" spans="2:21">
      <c r="B229" s="289">
        <v>209.104272535706</v>
      </c>
      <c r="C229" s="289">
        <v>0.18895444792157601</v>
      </c>
      <c r="D229" s="289">
        <v>0.16415378955957899</v>
      </c>
      <c r="E229" s="289">
        <v>0.17806994739030399</v>
      </c>
      <c r="F229" s="287">
        <v>0.12474044365096899</v>
      </c>
    </row>
    <row r="230" spans="2:21">
      <c r="B230" s="289">
        <v>210.299154093053</v>
      </c>
      <c r="C230" s="289">
        <v>0.18970729510497999</v>
      </c>
      <c r="D230" s="289">
        <v>0.16461626447102401</v>
      </c>
      <c r="E230" s="289">
        <v>0.17881250976183799</v>
      </c>
      <c r="F230" s="287">
        <v>0.125157422645606</v>
      </c>
    </row>
    <row r="231" spans="2:21">
      <c r="B231" s="289">
        <v>211.49403565039901</v>
      </c>
      <c r="C231" s="289">
        <v>0.19045940479672299</v>
      </c>
      <c r="D231" s="289">
        <v>0.165078436714443</v>
      </c>
      <c r="E231" s="289">
        <v>0.17955434641069201</v>
      </c>
      <c r="F231" s="287">
        <v>0.12557414303952799</v>
      </c>
    </row>
    <row r="232" spans="2:21">
      <c r="B232" s="289">
        <v>212.68891720774599</v>
      </c>
      <c r="C232" s="289">
        <v>0.191210790571815</v>
      </c>
      <c r="D232" s="289">
        <v>0.16554031973858199</v>
      </c>
      <c r="E232" s="289">
        <v>0.18029546056513701</v>
      </c>
      <c r="F232" s="287">
        <v>0.12599060203832599</v>
      </c>
    </row>
    <row r="233" spans="2:21">
      <c r="B233" s="289">
        <v>213.88379876509299</v>
      </c>
      <c r="C233" s="289">
        <v>0.19196146422850999</v>
      </c>
      <c r="D233" s="289">
        <v>0.16600192520802201</v>
      </c>
      <c r="E233" s="289">
        <v>0.18103585498776201</v>
      </c>
      <c r="F233" s="287">
        <v>0.12640679705883501</v>
      </c>
    </row>
    <row r="234" spans="2:21">
      <c r="B234" s="289">
        <v>215.07868032243999</v>
      </c>
      <c r="C234" s="289">
        <v>0.19271143352996301</v>
      </c>
      <c r="D234" s="289">
        <v>0.16646326301461001</v>
      </c>
      <c r="E234" s="289">
        <v>0.18177553207177299</v>
      </c>
      <c r="F234" s="287">
        <v>0.126822725506755</v>
      </c>
    </row>
    <row r="235" spans="2:21">
      <c r="B235" s="289">
        <v>216.273561879787</v>
      </c>
      <c r="C235" s="289">
        <v>0.193460730952454</v>
      </c>
      <c r="D235" s="289">
        <v>0.16692434393434399</v>
      </c>
      <c r="E235" s="289">
        <v>0.18251449333581499</v>
      </c>
      <c r="F235" s="287">
        <v>0.12723838511996299</v>
      </c>
    </row>
    <row r="236" spans="2:21">
      <c r="B236" s="289">
        <v>217.468443437134</v>
      </c>
      <c r="C236" s="289">
        <v>0.19420936676286099</v>
      </c>
      <c r="D236" s="289">
        <v>0.167385184144038</v>
      </c>
      <c r="E236" s="289">
        <v>0.183252739506893</v>
      </c>
      <c r="F236" s="287">
        <v>0.12765377426841501</v>
      </c>
    </row>
    <row r="237" spans="2:21">
      <c r="B237" s="289">
        <v>218.663324994481</v>
      </c>
      <c r="C237" s="289">
        <v>0.19495734523261701</v>
      </c>
      <c r="D237" s="289">
        <v>0.16784579305658501</v>
      </c>
      <c r="E237" s="289">
        <v>0.183990271008865</v>
      </c>
      <c r="F237" s="287">
        <v>0.12806889147707401</v>
      </c>
    </row>
    <row r="238" spans="2:21">
      <c r="B238" s="289">
        <v>219.858206551828</v>
      </c>
      <c r="C238" s="289">
        <v>0.195704662834677</v>
      </c>
      <c r="D238" s="289">
        <v>0.1683061515832</v>
      </c>
      <c r="E238" s="289">
        <v>0.18472708783858199</v>
      </c>
      <c r="F238" s="287">
        <v>0.12848373510501701</v>
      </c>
      <c r="L238" s="89" t="s">
        <v>498</v>
      </c>
    </row>
    <row r="239" spans="2:21">
      <c r="B239" s="289">
        <v>221.05308810917501</v>
      </c>
      <c r="C239" s="289">
        <v>0.19645129731250799</v>
      </c>
      <c r="D239" s="289">
        <v>0.16876627361910801</v>
      </c>
      <c r="E239" s="289">
        <v>0.185463189383376</v>
      </c>
      <c r="F239" s="287">
        <v>0.128898306075444</v>
      </c>
      <c r="L239" s="89" t="s">
        <v>452</v>
      </c>
      <c r="M239">
        <f>-3*10^(-14)*5</f>
        <v>-1.4999999999999999E-13</v>
      </c>
      <c r="N239" t="s">
        <v>499</v>
      </c>
      <c r="O239">
        <f>2*10^(-11)*4</f>
        <v>7.9999999999999995E-11</v>
      </c>
      <c r="P239" t="s">
        <v>500</v>
      </c>
      <c r="Q239">
        <f>-5*10^(-9)*3</f>
        <v>-1.5000000000000002E-8</v>
      </c>
      <c r="R239" t="s">
        <v>501</v>
      </c>
      <c r="S239" s="291">
        <f>5*10^(-7)*2</f>
        <v>9.9999999999999995E-7</v>
      </c>
      <c r="T239" t="s">
        <v>502</v>
      </c>
      <c r="U239" s="291">
        <f>7*10^(-6)</f>
        <v>6.9999999999999999E-6</v>
      </c>
    </row>
    <row r="240" spans="2:21">
      <c r="B240" s="289">
        <v>222.24796966652099</v>
      </c>
      <c r="C240" s="289">
        <v>0.19719724549925299</v>
      </c>
      <c r="D240" s="289">
        <v>0.169226182119181</v>
      </c>
      <c r="E240" s="289">
        <v>0.18619857482044999</v>
      </c>
      <c r="F240" s="287">
        <v>0.12931260264675701</v>
      </c>
      <c r="L240" s="89" t="s">
        <v>457</v>
      </c>
      <c r="M240">
        <f>-3*10^(-14)*5</f>
        <v>-1.4999999999999999E-13</v>
      </c>
      <c r="N240" t="s">
        <v>499</v>
      </c>
      <c r="O240">
        <f>3*10^(-11)*4</f>
        <v>1.2E-10</v>
      </c>
      <c r="P240" t="s">
        <v>500</v>
      </c>
      <c r="Q240">
        <f>-7*10^(-9)*3</f>
        <v>-2.1000000000000003E-8</v>
      </c>
      <c r="R240" t="s">
        <v>501</v>
      </c>
      <c r="S240" s="291">
        <f>7*10^(-7)*2</f>
        <v>1.3999999999999999E-6</v>
      </c>
      <c r="T240" t="s">
        <v>502</v>
      </c>
      <c r="U240" s="291">
        <f>9*10^(-6)</f>
        <v>9.0000000000000002E-6</v>
      </c>
    </row>
    <row r="241" spans="2:15">
      <c r="B241" s="289">
        <v>223.44285122386799</v>
      </c>
      <c r="C241" s="289">
        <v>0.197942506410761</v>
      </c>
      <c r="D241" s="289">
        <v>0.169685887731158</v>
      </c>
      <c r="E241" s="289">
        <v>0.186933243162305</v>
      </c>
      <c r="F241" s="287">
        <v>0.12972662307250199</v>
      </c>
    </row>
    <row r="242" spans="2:15">
      <c r="B242" s="289">
        <v>224.63773278121499</v>
      </c>
      <c r="C242" s="289">
        <v>0.198687076896753</v>
      </c>
      <c r="D242" s="289">
        <v>0.170145344787615</v>
      </c>
      <c r="E242" s="289">
        <v>0.18766719301582899</v>
      </c>
      <c r="F242" s="287">
        <v>0.130140366907259</v>
      </c>
    </row>
    <row r="243" spans="2:15" ht="18.75">
      <c r="B243" s="289">
        <v>225.832614338562</v>
      </c>
      <c r="C243" s="289">
        <v>0.199430952819937</v>
      </c>
      <c r="D243" s="289">
        <v>0.17060455764801499</v>
      </c>
      <c r="E243" s="289">
        <v>0.18840042265395399</v>
      </c>
      <c r="F243" s="287">
        <v>0.13055383374969201</v>
      </c>
      <c r="L243" s="248" t="s">
        <v>503</v>
      </c>
    </row>
    <row r="244" spans="2:15">
      <c r="B244" s="289">
        <v>227.027495895909</v>
      </c>
      <c r="C244" s="289">
        <v>0.200174131644487</v>
      </c>
      <c r="D244" s="289">
        <v>0.171063530154518</v>
      </c>
      <c r="E244" s="289">
        <v>0.18913293049341801</v>
      </c>
      <c r="F244" s="287">
        <v>0.13096702329346299</v>
      </c>
    </row>
    <row r="245" spans="2:15">
      <c r="B245" s="289">
        <v>228.222377453256</v>
      </c>
      <c r="C245" s="289">
        <v>0.20091661027861599</v>
      </c>
      <c r="D245" s="289">
        <v>0.17152226499883799</v>
      </c>
      <c r="E245" s="289">
        <v>0.189864714890878</v>
      </c>
      <c r="F245" s="287">
        <v>0.13137993563425701</v>
      </c>
      <c r="L245" s="358" t="s">
        <v>504</v>
      </c>
      <c r="M245" s="147" t="s">
        <v>452</v>
      </c>
      <c r="N245" s="147">
        <f>D24*C40/C35</f>
        <v>18.914440433212995</v>
      </c>
      <c r="O245" s="111" t="s">
        <v>468</v>
      </c>
    </row>
    <row r="246" spans="2:15">
      <c r="B246" s="289">
        <v>229.417259010603</v>
      </c>
      <c r="C246" s="289">
        <v>0.201658382377189</v>
      </c>
      <c r="D246" s="289">
        <v>0.17198075988445199</v>
      </c>
      <c r="E246" s="289">
        <v>0.19059577386611301</v>
      </c>
      <c r="F246" s="287">
        <v>0.13179257270986999</v>
      </c>
      <c r="L246" s="359"/>
      <c r="M246" s="148" t="s">
        <v>457</v>
      </c>
      <c r="N246" s="230">
        <f>D25*C40/C35</f>
        <v>22.933212996389891</v>
      </c>
      <c r="O246" s="82" t="s">
        <v>468</v>
      </c>
    </row>
    <row r="247" spans="2:15">
      <c r="B247" s="289">
        <v>230.61214056795001</v>
      </c>
      <c r="C247" s="289">
        <v>0.202399441905528</v>
      </c>
      <c r="D247" s="289">
        <v>0.172438986197016</v>
      </c>
      <c r="E247" s="289">
        <v>0.191326105338123</v>
      </c>
      <c r="F247" s="287">
        <v>0.13220493271051301</v>
      </c>
    </row>
    <row r="248" spans="2:15">
      <c r="B248" s="289">
        <v>231.80702212529701</v>
      </c>
      <c r="C248" s="289">
        <v>0.20313978386911699</v>
      </c>
      <c r="D248" s="289">
        <v>0.172896948721525</v>
      </c>
      <c r="E248" s="289">
        <v>0.19205570753940901</v>
      </c>
      <c r="F248" s="287">
        <v>0.13261701543144799</v>
      </c>
    </row>
    <row r="249" spans="2:15" ht="21">
      <c r="B249" s="289">
        <v>233.00190368264299</v>
      </c>
      <c r="C249" s="289">
        <v>0.20387940332291701</v>
      </c>
      <c r="D249" s="289">
        <v>0.173354661252522</v>
      </c>
      <c r="E249" s="289">
        <v>0.19278457871232399</v>
      </c>
      <c r="F249" s="287">
        <v>0.13302882251929499</v>
      </c>
      <c r="L249" s="253" t="s">
        <v>444</v>
      </c>
    </row>
    <row r="250" spans="2:15">
      <c r="B250" s="289">
        <v>234.19678523998999</v>
      </c>
      <c r="C250" s="289">
        <v>0.20461829456599001</v>
      </c>
      <c r="D250" s="289">
        <v>0.17381215669348199</v>
      </c>
      <c r="E250" s="289">
        <v>0.19351271672210801</v>
      </c>
      <c r="F250" s="287">
        <v>0.133440364628401</v>
      </c>
      <c r="L250" s="89" t="s">
        <v>452</v>
      </c>
      <c r="M250">
        <f>(M239*N245^4+O239*N245^3+Q239*N245^2+S239*N245+U239)*1000/365.25</f>
        <v>5.7687177605702814E-5</v>
      </c>
      <c r="N250" t="s">
        <v>505</v>
      </c>
    </row>
    <row r="251" spans="2:15">
      <c r="B251" s="289">
        <v>235.391666797337</v>
      </c>
      <c r="C251" s="289">
        <v>0.205356452104385</v>
      </c>
      <c r="D251" s="289">
        <v>0.17426940926741999</v>
      </c>
      <c r="E251" s="289">
        <v>0.19424012060380499</v>
      </c>
      <c r="F251" s="287">
        <v>0.13385163085568499</v>
      </c>
      <c r="L251" s="89" t="s">
        <v>457</v>
      </c>
      <c r="M251">
        <f>(M240*N246^4+O240*N246^3+Q240*N246^2+S240*N246+U240)*1000/365.25</f>
        <v>8.6154108252030755E-5</v>
      </c>
      <c r="N251" t="s">
        <v>505</v>
      </c>
    </row>
    <row r="252" spans="2:15">
      <c r="B252" s="289">
        <v>236.586548354684</v>
      </c>
      <c r="C252" s="289">
        <v>0.206093839828069</v>
      </c>
      <c r="D252" s="289">
        <v>0.17472641829945901</v>
      </c>
      <c r="E252" s="289">
        <v>0.194966758491362</v>
      </c>
      <c r="F252" s="287">
        <v>0.134262608726441</v>
      </c>
      <c r="L252" s="89" t="s">
        <v>506</v>
      </c>
      <c r="M252">
        <f>M250*D14/SUM(D14:D15)+M251*D15/SUM(D14:D15)</f>
        <v>7.1842589395090264E-5</v>
      </c>
      <c r="N252" t="s">
        <v>505</v>
      </c>
    </row>
    <row r="253" spans="2:15">
      <c r="B253" s="290">
        <v>237.781429912031</v>
      </c>
      <c r="C253" s="290">
        <v>0.20683054781492799</v>
      </c>
      <c r="D253" s="290">
        <v>0.175183223788418</v>
      </c>
      <c r="E253" s="290">
        <v>0.19569272276892499</v>
      </c>
      <c r="F253" s="288">
        <v>0.134673333792282</v>
      </c>
    </row>
    <row r="254" spans="2:15">
      <c r="B254" s="286"/>
    </row>
    <row r="255" spans="2:15">
      <c r="B255" s="154" t="s">
        <v>507</v>
      </c>
    </row>
    <row r="256" spans="2:15">
      <c r="B256" t="s">
        <v>508</v>
      </c>
    </row>
    <row r="257" spans="2:2">
      <c r="B257" s="72" t="s">
        <v>509</v>
      </c>
    </row>
    <row r="258" spans="2:2">
      <c r="B258" s="286"/>
    </row>
    <row r="259" spans="2:2">
      <c r="B259" s="286"/>
    </row>
    <row r="260" spans="2:2">
      <c r="B260" s="286"/>
    </row>
    <row r="261" spans="2:2">
      <c r="B261" s="286"/>
    </row>
    <row r="262" spans="2:2">
      <c r="B262" s="286"/>
    </row>
    <row r="263" spans="2:2">
      <c r="B263" s="286"/>
    </row>
    <row r="264" spans="2:2">
      <c r="B264" s="286"/>
    </row>
    <row r="265" spans="2:2">
      <c r="B265" s="286"/>
    </row>
    <row r="266" spans="2:2">
      <c r="B266" s="286"/>
    </row>
    <row r="267" spans="2:2">
      <c r="B267" s="286"/>
    </row>
    <row r="268" spans="2:2">
      <c r="B268" s="286"/>
    </row>
    <row r="269" spans="2:2">
      <c r="B269" s="286"/>
    </row>
    <row r="270" spans="2:2">
      <c r="B270" s="286"/>
    </row>
    <row r="271" spans="2:2">
      <c r="B271" s="286"/>
    </row>
    <row r="272" spans="2:2">
      <c r="B272" s="286"/>
    </row>
    <row r="273" spans="2:2">
      <c r="B273" s="286"/>
    </row>
    <row r="274" spans="2:2">
      <c r="B274" s="286"/>
    </row>
    <row r="275" spans="2:2">
      <c r="B275" s="286"/>
    </row>
    <row r="276" spans="2:2">
      <c r="B276" s="286"/>
    </row>
    <row r="277" spans="2:2">
      <c r="B277" s="286"/>
    </row>
    <row r="278" spans="2:2">
      <c r="B278" s="286"/>
    </row>
    <row r="279" spans="2:2">
      <c r="B279" s="286"/>
    </row>
    <row r="280" spans="2:2">
      <c r="B280" s="286"/>
    </row>
    <row r="281" spans="2:2">
      <c r="B281" s="286"/>
    </row>
    <row r="282" spans="2:2">
      <c r="B282" s="89"/>
    </row>
    <row r="283" spans="2:2">
      <c r="B283" s="89"/>
    </row>
    <row r="284" spans="2:2">
      <c r="B284" s="89"/>
    </row>
    <row r="285" spans="2:2">
      <c r="B285" s="89"/>
    </row>
    <row r="286" spans="2:2">
      <c r="B286" s="89"/>
    </row>
    <row r="287" spans="2:2">
      <c r="B287" s="89"/>
    </row>
    <row r="288" spans="2:2">
      <c r="B288" s="89"/>
    </row>
  </sheetData>
  <mergeCells count="31">
    <mergeCell ref="B2:L2"/>
    <mergeCell ref="H16:H17"/>
    <mergeCell ref="H18:H19"/>
    <mergeCell ref="H20:H21"/>
    <mergeCell ref="H22:H23"/>
    <mergeCell ref="F14:F15"/>
    <mergeCell ref="G14:G15"/>
    <mergeCell ref="H14:H15"/>
    <mergeCell ref="G18:G19"/>
    <mergeCell ref="G20:G21"/>
    <mergeCell ref="G22:G23"/>
    <mergeCell ref="F16:F17"/>
    <mergeCell ref="F18:F19"/>
    <mergeCell ref="F20:F21"/>
    <mergeCell ref="F22:F23"/>
    <mergeCell ref="L245:L246"/>
    <mergeCell ref="V10:AC10"/>
    <mergeCell ref="H24:H25"/>
    <mergeCell ref="C52:F52"/>
    <mergeCell ref="B10:I10"/>
    <mergeCell ref="L10:S10"/>
    <mergeCell ref="L14:N14"/>
    <mergeCell ref="B18:B19"/>
    <mergeCell ref="B20:B21"/>
    <mergeCell ref="B22:B23"/>
    <mergeCell ref="B24:B25"/>
    <mergeCell ref="F24:F25"/>
    <mergeCell ref="G24:G25"/>
    <mergeCell ref="B14:B15"/>
    <mergeCell ref="B16:B17"/>
    <mergeCell ref="G16:G17"/>
  </mergeCells>
  <hyperlinks>
    <hyperlink ref="B28" r:id="rId1" xr:uid="{B373748D-6386-452C-BCCF-74361D94F9D3}"/>
    <hyperlink ref="B30" r:id="rId2" xr:uid="{C220142C-32EE-4FDD-9097-17730A24B368}"/>
    <hyperlink ref="B257" r:id="rId3" xr:uid="{40297193-5700-4410-91A4-A58DFBE9FBB2}"/>
    <hyperlink ref="B45" r:id="rId4" xr:uid="{1B7F3185-D4BA-49FE-A90A-891E7BDA495F}"/>
  </hyperlinks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0ACF-5424-F745-A50E-835FD59F84B4}">
  <sheetPr>
    <tabColor theme="5" tint="0.79998168889431442"/>
  </sheetPr>
  <dimension ref="B1:AO93"/>
  <sheetViews>
    <sheetView tabSelected="1" topLeftCell="A28" zoomScale="75" workbookViewId="0">
      <selection activeCell="F46" sqref="F46"/>
    </sheetView>
  </sheetViews>
  <sheetFormatPr defaultColWidth="11" defaultRowHeight="15.75" customHeight="1"/>
  <cols>
    <col min="2" max="2" width="27.375" customWidth="1"/>
    <col min="3" max="3" width="22.625" customWidth="1"/>
    <col min="4" max="4" width="25.125" customWidth="1"/>
    <col min="5" max="5" width="19.375" customWidth="1"/>
    <col min="6" max="6" width="21.5" customWidth="1"/>
    <col min="9" max="9" width="27.875" customWidth="1"/>
    <col min="10" max="10" width="26" customWidth="1"/>
    <col min="11" max="11" width="25.125" customWidth="1"/>
    <col min="12" max="12" width="22.5" customWidth="1"/>
    <col min="13" max="13" width="24" customWidth="1"/>
    <col min="14" max="14" width="18.625" customWidth="1"/>
    <col min="15" max="15" width="19.75" customWidth="1"/>
    <col min="17" max="17" width="19" customWidth="1"/>
    <col min="18" max="22" width="23.625" customWidth="1"/>
    <col min="23" max="23" width="19" customWidth="1"/>
    <col min="25" max="25" width="19.75" customWidth="1"/>
    <col min="26" max="26" width="23.875" customWidth="1"/>
    <col min="27" max="27" width="27.25" customWidth="1"/>
    <col min="28" max="30" width="23.875" customWidth="1"/>
    <col min="35" max="35" width="29.875" customWidth="1"/>
    <col min="36" max="36" width="22.5" customWidth="1"/>
    <col min="37" max="37" width="25" customWidth="1"/>
    <col min="38" max="38" width="22" customWidth="1"/>
    <col min="39" max="39" width="23.375" customWidth="1"/>
    <col min="40" max="41" width="19.25" customWidth="1"/>
  </cols>
  <sheetData>
    <row r="1" spans="2:41"/>
    <row r="2" spans="2:41" ht="26.25">
      <c r="B2" s="307" t="s">
        <v>161</v>
      </c>
      <c r="C2" s="307"/>
      <c r="D2" s="307"/>
      <c r="E2" s="307"/>
      <c r="F2" s="307"/>
      <c r="G2" s="307"/>
      <c r="H2" s="307"/>
      <c r="I2" s="307"/>
      <c r="J2" s="307"/>
    </row>
    <row r="3" spans="2:41"/>
    <row r="4" spans="2:41" ht="21">
      <c r="B4" s="207" t="s">
        <v>510</v>
      </c>
      <c r="C4" s="207"/>
      <c r="D4" s="207"/>
      <c r="E4" s="207"/>
      <c r="F4" s="207"/>
      <c r="G4" s="207"/>
      <c r="H4" s="207"/>
    </row>
    <row r="5" spans="2:41" ht="15.95" customHeight="1">
      <c r="B5" t="s">
        <v>511</v>
      </c>
    </row>
    <row r="6" spans="2:41" ht="21.95" customHeight="1">
      <c r="B6" s="3" t="s">
        <v>512</v>
      </c>
    </row>
    <row r="7" spans="2:41" ht="15.95" customHeight="1">
      <c r="B7" t="s">
        <v>513</v>
      </c>
    </row>
    <row r="8" spans="2:41" ht="15.95" customHeight="1"/>
    <row r="9" spans="2:41"/>
    <row r="10" spans="2:41" ht="26.25" customHeight="1">
      <c r="B10" s="373" t="s">
        <v>443</v>
      </c>
      <c r="C10" s="374"/>
      <c r="D10" s="374"/>
      <c r="E10" s="374"/>
      <c r="F10" s="374"/>
      <c r="G10" s="375"/>
      <c r="I10" s="373" t="s">
        <v>514</v>
      </c>
      <c r="J10" s="374"/>
      <c r="K10" s="374"/>
      <c r="L10" s="374"/>
      <c r="M10" s="374"/>
      <c r="N10" s="374"/>
      <c r="O10" s="375"/>
      <c r="Q10" s="373" t="s">
        <v>515</v>
      </c>
      <c r="R10" s="374"/>
      <c r="S10" s="374"/>
      <c r="T10" s="374"/>
      <c r="U10" s="374"/>
      <c r="V10" s="374"/>
      <c r="W10" s="375"/>
      <c r="Y10" s="373" t="s">
        <v>516</v>
      </c>
      <c r="Z10" s="374"/>
      <c r="AA10" s="374"/>
      <c r="AB10" s="374"/>
      <c r="AC10" s="374"/>
      <c r="AD10" s="374"/>
      <c r="AE10" s="375"/>
      <c r="AI10" s="373" t="s">
        <v>517</v>
      </c>
      <c r="AJ10" s="374"/>
      <c r="AK10" s="374"/>
      <c r="AL10" s="374"/>
      <c r="AM10" s="374"/>
      <c r="AN10" s="374"/>
      <c r="AO10" s="375"/>
    </row>
    <row r="11" spans="2:41" ht="17.25" customHeight="1">
      <c r="AI11" s="155" t="s">
        <v>518</v>
      </c>
    </row>
    <row r="12" spans="2:41" ht="18.95" customHeight="1">
      <c r="B12" s="208" t="s">
        <v>519</v>
      </c>
      <c r="C12" s="208"/>
      <c r="D12" s="208"/>
      <c r="E12" s="208"/>
      <c r="F12" s="208"/>
      <c r="H12" s="35"/>
      <c r="I12" s="155" t="s">
        <v>520</v>
      </c>
      <c r="AI12" t="s">
        <v>521</v>
      </c>
    </row>
    <row r="13" spans="2:41" ht="15.75" customHeight="1">
      <c r="B13" s="208" t="s">
        <v>522</v>
      </c>
      <c r="C13" s="208"/>
      <c r="D13" s="208"/>
      <c r="E13" s="208"/>
      <c r="F13" s="208"/>
      <c r="I13" s="117"/>
      <c r="J13" s="118" t="s">
        <v>138</v>
      </c>
      <c r="K13" s="149" t="s">
        <v>139</v>
      </c>
      <c r="L13" s="149" t="s">
        <v>140</v>
      </c>
      <c r="M13" s="94" t="s">
        <v>141</v>
      </c>
      <c r="N13" s="149" t="s">
        <v>142</v>
      </c>
      <c r="O13" s="256" t="s">
        <v>10</v>
      </c>
      <c r="Q13" s="97"/>
      <c r="R13" s="149" t="s">
        <v>138</v>
      </c>
      <c r="S13" s="149" t="s">
        <v>139</v>
      </c>
      <c r="T13" s="149" t="s">
        <v>140</v>
      </c>
      <c r="U13" s="149" t="s">
        <v>141</v>
      </c>
      <c r="V13" s="149" t="s">
        <v>142</v>
      </c>
      <c r="W13" s="256" t="s">
        <v>10</v>
      </c>
      <c r="Y13" s="97"/>
      <c r="Z13" s="149" t="s">
        <v>138</v>
      </c>
      <c r="AA13" s="149" t="s">
        <v>139</v>
      </c>
      <c r="AB13" s="149" t="s">
        <v>140</v>
      </c>
      <c r="AC13" s="149" t="s">
        <v>141</v>
      </c>
      <c r="AD13" s="149" t="s">
        <v>142</v>
      </c>
      <c r="AE13" s="256" t="s">
        <v>10</v>
      </c>
      <c r="AI13" s="153" t="s">
        <v>523</v>
      </c>
    </row>
    <row r="14" spans="2:41">
      <c r="B14" s="10" t="s">
        <v>524</v>
      </c>
      <c r="C14" s="10" t="s">
        <v>525</v>
      </c>
      <c r="D14" s="12" t="s">
        <v>526</v>
      </c>
      <c r="E14" s="12" t="s">
        <v>527</v>
      </c>
      <c r="I14" s="266" t="s">
        <v>528</v>
      </c>
      <c r="J14" s="121">
        <f>C44*'Production Systems Parameters'!$E$6/12+'Production Systems Parameters'!$D$6/12*'Animal welfare'!D44</f>
        <v>-0.31986666666666669</v>
      </c>
      <c r="K14" s="380">
        <f>C44*'Production Systems Parameters'!$E$7/12+'Production Systems Parameters'!$D$7/12*'Animal welfare'!D44</f>
        <v>-0.21099999999999997</v>
      </c>
      <c r="L14" s="380">
        <f>$C44*'Production Systems Parameters'!$E$8/12+'Production Systems Parameters'!$D$8/12*$D44</f>
        <v>-0.19645833333333332</v>
      </c>
      <c r="M14" s="381">
        <f>$C44*'Production Systems Parameters'!$E$9/12+'Production Systems Parameters'!$D$9/12*$D44</f>
        <v>-0.23653333333333332</v>
      </c>
      <c r="N14" s="381">
        <f>$C44*'Production Systems Parameters'!$E$10/12+'Production Systems Parameters'!$D$10/12*$D44</f>
        <v>-0.26052083333333331</v>
      </c>
      <c r="O14" s="257" t="s">
        <v>529</v>
      </c>
      <c r="Q14" s="213" t="s">
        <v>528</v>
      </c>
      <c r="R14">
        <f>J24/('Production Systems Parameters'!$C$6*'Production Systems Parameters'!$C$21/100)</f>
        <v>2.7835756722951864E-4</v>
      </c>
      <c r="S14">
        <f>K24/('Production Systems Parameters'!$C$7*'Production Systems Parameters'!$C$21/100)</f>
        <v>2.3227407754846787E-4</v>
      </c>
      <c r="T14">
        <f>L24/('Production Systems Parameters'!$C$8*'Production Systems Parameters'!$C$21/100)</f>
        <v>2.8409090909090908E-4</v>
      </c>
      <c r="U14">
        <f>M24/('Production Systems Parameters'!$C$9*'Production Systems Parameters'!$C$21/100)</f>
        <v>1.1585365853658533E-4</v>
      </c>
      <c r="V14">
        <f>N24/('Production Systems Parameters'!$C$10*'Production Systems Parameters'!$C$21/100)</f>
        <v>0</v>
      </c>
      <c r="W14" s="257" t="s">
        <v>530</v>
      </c>
      <c r="Y14" s="213" t="s">
        <v>528</v>
      </c>
      <c r="Z14">
        <f>R14*VLOOKUP('Monetization factors'!C$28,'Monetization factors'!C$6:J$28,7,FALSE)*$C$58*$C$60/$C$59^$C$60</f>
        <v>0.8966096310499867</v>
      </c>
      <c r="AA14">
        <f>S14*VLOOKUP('Monetization factors'!C$28,'Monetization factors'!C$6:J$28,7,FALSE)*$C$58*$C$60/$C$59^$C$60</f>
        <v>0.74817141508313467</v>
      </c>
      <c r="AB14">
        <f>T14*VLOOKUP('Monetization factors'!C$28,'Monetization factors'!C$6:J$28,7,FALSE)*$C$58*$C$60/$C$59^$C$60</f>
        <v>0.91507713521087075</v>
      </c>
      <c r="AC14">
        <f>U14*VLOOKUP('Monetization factors'!C$28,'Monetization factors'!C$6:J$28,7,FALSE)*$C$58*$C$60/$C$59^$C$60</f>
        <v>0.37317291952989651</v>
      </c>
      <c r="AD14">
        <f>V14*VLOOKUP('Monetization factors'!C$28,'Monetization factors'!C$6:J$28,7,FALSE)*$C$58*$C$60/$C$59^$C$60</f>
        <v>0</v>
      </c>
      <c r="AE14" s="257" t="s">
        <v>169</v>
      </c>
      <c r="AI14" t="s">
        <v>531</v>
      </c>
    </row>
    <row r="15" spans="2:41">
      <c r="B15" s="385" t="s">
        <v>528</v>
      </c>
      <c r="C15" s="13" t="s">
        <v>532</v>
      </c>
      <c r="D15" s="6">
        <v>-0.10249999999999999</v>
      </c>
      <c r="E15" s="6">
        <v>2.4E-2</v>
      </c>
      <c r="I15" s="266" t="s">
        <v>12</v>
      </c>
      <c r="J15" s="121">
        <f>C46*'Production Systems Parameters'!$E$6/12+'Production Systems Parameters'!$D$6/12*'Animal welfare'!D46</f>
        <v>-0.72093333333333331</v>
      </c>
      <c r="K15" s="380">
        <f>C46*'Production Systems Parameters'!$E$7/12+'Production Systems Parameters'!$D$7/12*'Animal welfare'!D46</f>
        <v>-0.40154999999999996</v>
      </c>
      <c r="L15" s="380">
        <f>$C46*'Production Systems Parameters'!$E$8/12+'Production Systems Parameters'!$D$8/12*$D46</f>
        <v>-0.31184166666666668</v>
      </c>
      <c r="M15" s="381">
        <f>$C46*'Production Systems Parameters'!$E$9/12+'Production Systems Parameters'!$D$9/12*$D46</f>
        <v>-0.42209166666666664</v>
      </c>
      <c r="N15" s="381">
        <f>$C46*'Production Systems Parameters'!$E$10/12+'Production Systems Parameters'!$D$10/12*$D46</f>
        <v>-0.41352916666666667</v>
      </c>
      <c r="O15" s="257" t="s">
        <v>529</v>
      </c>
      <c r="Q15" s="213" t="s">
        <v>12</v>
      </c>
      <c r="R15">
        <f>J25/('Production Systems Parameters'!$C$6*'Production Systems Parameters'!$C$21/100)</f>
        <v>1.4418581926203878E-3</v>
      </c>
      <c r="S15">
        <f>K25/('Production Systems Parameters'!$C$7*'Production Systems Parameters'!$C$21/100)</f>
        <v>5.6187460913070862E-5</v>
      </c>
      <c r="T15">
        <f>L25/('Production Systems Parameters'!$C$8*'Production Systems Parameters'!$C$21/100)</f>
        <v>4.5094235033259417E-4</v>
      </c>
      <c r="U15">
        <f>M25/('Production Systems Parameters'!$C$9*'Production Systems Parameters'!$C$21/100)</f>
        <v>4.135474523062049E-5</v>
      </c>
      <c r="V15">
        <f>N25/('Production Systems Parameters'!$C$10*'Production Systems Parameters'!$C$21/100)</f>
        <v>0</v>
      </c>
      <c r="W15" s="257" t="s">
        <v>530</v>
      </c>
      <c r="Y15" s="213" t="s">
        <v>12</v>
      </c>
      <c r="Z15">
        <f>R15*VLOOKUP('Monetization factors'!C$28,'Monetization factors'!C$6:J$28,7,FALSE)*$C$58*$C$60/$C$59^$C$60</f>
        <v>4.644328354277528</v>
      </c>
      <c r="AA15">
        <f>S15*VLOOKUP('Monetization factors'!C$28,'Monetization factors'!C$6:J$28,7,FALSE)*$C$58*$C$60/$C$59^$C$60</f>
        <v>0.18098382990021195</v>
      </c>
      <c r="AB15">
        <f>T15*VLOOKUP('Monetization factors'!C$28,'Monetization factors'!C$6:J$28,7,FALSE)*$C$58*$C$60/$C$59^$C$60</f>
        <v>1.4525175599883773</v>
      </c>
      <c r="AC15">
        <f>U15*VLOOKUP('Monetization factors'!C$28,'Monetization factors'!C$6:J$28,7,FALSE)*$C$58*$C$60/$C$59^$C$60</f>
        <v>0.13320659191140091</v>
      </c>
      <c r="AD15">
        <f>V15*VLOOKUP('Monetization factors'!C$28,'Monetization factors'!C$6:J$28,7,FALSE)*$C$58*$C$60/$C$59^$C$60</f>
        <v>0</v>
      </c>
      <c r="AE15" s="257" t="s">
        <v>169</v>
      </c>
    </row>
    <row r="16" spans="2:41" ht="18.75">
      <c r="B16" s="386"/>
      <c r="C16" s="14" t="s">
        <v>533</v>
      </c>
      <c r="D16" s="6">
        <v>-0.1502</v>
      </c>
      <c r="E16" s="6">
        <v>2.5600000000000001E-2</v>
      </c>
      <c r="I16" s="266" t="s">
        <v>78</v>
      </c>
      <c r="J16" s="121">
        <f>C48*'Production Systems Parameters'!$E$6/12+'Production Systems Parameters'!$D$6/12*'Animal welfare'!D48</f>
        <v>-0.39679999999999999</v>
      </c>
      <c r="K16" s="380">
        <f>C48*'Production Systems Parameters'!$E$7/12+'Production Systems Parameters'!$D$7/12*'Animal welfare'!D48</f>
        <v>-0.19376666666666664</v>
      </c>
      <c r="L16" s="380">
        <f>$C48*'Production Systems Parameters'!$E$8/12+'Production Systems Parameters'!$D$8/12*$D48</f>
        <v>-0.12343333333333334</v>
      </c>
      <c r="M16" s="381">
        <f>$C48*'Production Systems Parameters'!$E$9/12+'Production Systems Parameters'!$D$9/12*$D48</f>
        <v>-0.19144999999999998</v>
      </c>
      <c r="N16" s="381">
        <f>$C48*'Production Systems Parameters'!$E$10/12+'Production Systems Parameters'!$D$10/12*$D48</f>
        <v>-0.16368333333333332</v>
      </c>
      <c r="O16" s="257" t="s">
        <v>529</v>
      </c>
      <c r="Q16" s="213" t="s">
        <v>78</v>
      </c>
      <c r="R16">
        <f>J26/('Production Systems Parameters'!$C$6*'Production Systems Parameters'!$C$21/100)</f>
        <v>1.0934177611006881E-3</v>
      </c>
      <c r="S16">
        <f>K26/('Production Systems Parameters'!$C$7*'Production Systems Parameters'!$C$21/100)</f>
        <v>1.4110381488430265E-4</v>
      </c>
      <c r="T16">
        <f>L26/('Production Systems Parameters'!$C$8*'Production Systems Parameters'!$C$21/100)</f>
        <v>1.7849223946784913E-4</v>
      </c>
      <c r="U16">
        <f>M26/('Production Systems Parameters'!$C$9*'Production Systems Parameters'!$C$21/100)</f>
        <v>1.3410609353618286E-4</v>
      </c>
      <c r="V16">
        <f>N26/('Production Systems Parameters'!$C$10*'Production Systems Parameters'!$C$21/100)</f>
        <v>0</v>
      </c>
      <c r="W16" s="257" t="s">
        <v>530</v>
      </c>
      <c r="Y16" s="213" t="s">
        <v>78</v>
      </c>
      <c r="Z16">
        <f>R16*VLOOKUP('Monetization factors'!C$28,'Monetization factors'!C$6:J$28,7,FALSE)*$C$58*$C$60/$C$59^$C$60</f>
        <v>3.521976805306791</v>
      </c>
      <c r="AA16">
        <f>S16*VLOOKUP('Monetization factors'!C$28,'Monetization factors'!C$6:J$28,7,FALSE)*$C$58*$C$60/$C$59^$C$60</f>
        <v>0.45450547891461751</v>
      </c>
      <c r="AB16">
        <f>T16*VLOOKUP('Monetization factors'!C$28,'Monetization factors'!C$6:J$28,7,FALSE)*$C$58*$C$60/$C$59^$C$60</f>
        <v>0.57493626836663458</v>
      </c>
      <c r="AC16">
        <f>U16*VLOOKUP('Monetization factors'!C$28,'Monetization factors'!C$6:J$28,7,FALSE)*$C$58*$C$60/$C$59^$C$60</f>
        <v>0.43196531800368776</v>
      </c>
      <c r="AD16">
        <f>V16*VLOOKUP('Monetization factors'!C$28,'Monetization factors'!C$6:J$28,7,FALSE)*$C$58*$C$60/$C$59^$C$60</f>
        <v>0</v>
      </c>
      <c r="AE16" s="257" t="s">
        <v>169</v>
      </c>
      <c r="AI16" s="248" t="s">
        <v>534</v>
      </c>
    </row>
    <row r="17" spans="2:41">
      <c r="B17" s="386"/>
      <c r="C17" s="15" t="s">
        <v>535</v>
      </c>
      <c r="D17" s="6">
        <v>-0.2399</v>
      </c>
      <c r="E17" s="6">
        <v>2.1899999999999999E-2</v>
      </c>
      <c r="I17" s="266" t="s">
        <v>536</v>
      </c>
      <c r="J17" s="121">
        <f>C50*'Production Systems Parameters'!$E$6/12+'Production Systems Parameters'!$D$6/12*'Animal welfare'!D50</f>
        <v>-1.1741333333333335</v>
      </c>
      <c r="K17" s="380">
        <f>C50*'Production Systems Parameters'!$E$7/12+'Production Systems Parameters'!$D$7/12*'Animal welfare'!D50</f>
        <v>-0.49128333333333341</v>
      </c>
      <c r="L17" s="380">
        <f>$C50*'Production Systems Parameters'!$E$8/12+'Production Systems Parameters'!$D$8/12*$D50</f>
        <v>-0.22003333333333333</v>
      </c>
      <c r="M17" s="381">
        <f>$C50*'Production Systems Parameters'!$E$9/12+'Production Systems Parameters'!$D$9/12*$D50</f>
        <v>-0.44339166666666668</v>
      </c>
      <c r="N17" s="381">
        <f>$C50*'Production Systems Parameters'!$E$10/12+'Production Systems Parameters'!$D$10/12*$D50</f>
        <v>-0.29178333333333334</v>
      </c>
      <c r="O17" s="257" t="s">
        <v>529</v>
      </c>
      <c r="Q17" s="213" t="s">
        <v>536</v>
      </c>
      <c r="R17">
        <f>J27/('Production Systems Parameters'!$C$6*'Production Systems Parameters'!$C$21/100)</f>
        <v>4.1386022514071303E-3</v>
      </c>
      <c r="S17">
        <f>K27/('Production Systems Parameters'!$C$7*'Production Systems Parameters'!$C$21/100)</f>
        <v>9.3574108818011298E-4</v>
      </c>
      <c r="T17">
        <f>L27/('Production Systems Parameters'!$C$8*'Production Systems Parameters'!$C$21/100)</f>
        <v>3.181818181818182E-4</v>
      </c>
      <c r="U17">
        <f>M27/('Production Systems Parameters'!$C$9*'Production Systems Parameters'!$C$21/100)</f>
        <v>7.3223054012718349E-4</v>
      </c>
      <c r="V17">
        <f>N27/('Production Systems Parameters'!$C$10*'Production Systems Parameters'!$C$21/100)</f>
        <v>0</v>
      </c>
      <c r="W17" s="257" t="s">
        <v>530</v>
      </c>
      <c r="Y17" s="213" t="s">
        <v>536</v>
      </c>
      <c r="Z17">
        <f>R17*VLOOKUP('Monetization factors'!C$28,'Monetization factors'!C$6:J$28,7,FALSE)*$C$58*$C$60/$C$59^$C$60</f>
        <v>13.330733827822037</v>
      </c>
      <c r="AA17">
        <f>S17*VLOOKUP('Monetization factors'!C$28,'Monetization factors'!C$6:J$28,7,FALSE)*$C$58*$C$60/$C$59^$C$60</f>
        <v>3.0140889654337815</v>
      </c>
      <c r="AB17">
        <f>T17*VLOOKUP('Monetization factors'!C$28,'Monetization factors'!C$6:J$28,7,FALSE)*$C$58*$C$60/$C$59^$C$60</f>
        <v>1.0248863914361752</v>
      </c>
      <c r="AC17">
        <f>U17*VLOOKUP('Monetization factors'!C$28,'Monetization factors'!C$6:J$28,7,FALSE)*$C$58*$C$60/$C$59^$C$60</f>
        <v>2.3585669359066905</v>
      </c>
      <c r="AD17">
        <f>V17*VLOOKUP('Monetization factors'!C$28,'Monetization factors'!C$6:J$28,7,FALSE)*$C$58*$C$60/$C$59^$C$60</f>
        <v>0</v>
      </c>
      <c r="AE17" s="257" t="s">
        <v>169</v>
      </c>
      <c r="AI17" s="89" t="s">
        <v>191</v>
      </c>
      <c r="AJ17" s="89" t="s">
        <v>193</v>
      </c>
      <c r="AK17" s="89" t="s">
        <v>10</v>
      </c>
    </row>
    <row r="18" spans="2:41">
      <c r="B18" s="386"/>
      <c r="C18" s="16" t="s">
        <v>537</v>
      </c>
      <c r="D18" s="6">
        <v>-0.71479999999999999</v>
      </c>
      <c r="E18" s="6">
        <v>3.9300000000000002E-2</v>
      </c>
      <c r="I18" s="266" t="s">
        <v>538</v>
      </c>
      <c r="J18" s="133" t="s">
        <v>291</v>
      </c>
      <c r="K18" s="382" t="s">
        <v>291</v>
      </c>
      <c r="L18" s="382" t="s">
        <v>291</v>
      </c>
      <c r="M18" s="383" t="s">
        <v>291</v>
      </c>
      <c r="N18" s="383" t="s">
        <v>291</v>
      </c>
      <c r="O18" s="257" t="s">
        <v>529</v>
      </c>
      <c r="Q18" s="213" t="s">
        <v>538</v>
      </c>
      <c r="R18">
        <f>J28/('Production Systems Parameters'!$C$6*'Production Systems Parameters'!$C$21/100)</f>
        <v>5.6676047529706057E-3</v>
      </c>
      <c r="S18">
        <f>K28/('Production Systems Parameters'!$C$7*'Production Systems Parameters'!$C$21/100)</f>
        <v>4.3089430894308932E-3</v>
      </c>
      <c r="T18">
        <f>L28/('Production Systems Parameters'!$C$8*'Production Systems Parameters'!$C$21/100)</f>
        <v>3.0820399113081897E-4</v>
      </c>
      <c r="U18">
        <f>M28/('Production Systems Parameters'!$C$9*'Production Systems Parameters'!$C$21/100)</f>
        <v>2.7868872253078961E-3</v>
      </c>
      <c r="V18">
        <f>N28/('Production Systems Parameters'!$C$10*'Production Systems Parameters'!$C$21/100)</f>
        <v>0</v>
      </c>
      <c r="W18" s="257" t="s">
        <v>530</v>
      </c>
      <c r="Y18" s="213" t="s">
        <v>538</v>
      </c>
      <c r="Z18">
        <f>R18*VLOOKUP('Monetization factors'!C$28,'Monetization factors'!C$6:J$28,7,FALSE)*$C$58*$C$60/$C$59^$C$60</f>
        <v>18.255760233412616</v>
      </c>
      <c r="AA18">
        <f>S18*VLOOKUP('Monetization factors'!C$28,'Monetization factors'!C$6:J$28,7,FALSE)*$C$58*$C$60/$C$59^$C$60</f>
        <v>13.879413849182114</v>
      </c>
      <c r="AB18">
        <f>T18*VLOOKUP('Monetization factors'!C$28,'Monetization factors'!C$6:J$28,7,FALSE)*$C$58*$C$60/$C$59^$C$60</f>
        <v>0.99274709693120355</v>
      </c>
      <c r="AC18">
        <f>U18*VLOOKUP('Monetization factors'!C$28,'Monetization factors'!C$6:J$28,7,FALSE)*$C$58*$C$60/$C$59^$C$60</f>
        <v>8.9767630595826393</v>
      </c>
      <c r="AD18">
        <f>V18*VLOOKUP('Monetization factors'!C$28,'Monetization factors'!C$6:J$28,7,FALSE)*$C$58*$C$60/$C$59^$C$60</f>
        <v>0</v>
      </c>
      <c r="AE18" s="257" t="s">
        <v>169</v>
      </c>
      <c r="AI18" t="s">
        <v>539</v>
      </c>
      <c r="AJ18">
        <v>20</v>
      </c>
      <c r="AK18" t="s">
        <v>540</v>
      </c>
      <c r="AL18" s="378" t="s">
        <v>541</v>
      </c>
    </row>
    <row r="19" spans="2:41">
      <c r="B19" s="7"/>
      <c r="C19" s="14"/>
      <c r="D19" s="6"/>
      <c r="E19" s="6"/>
      <c r="I19" s="266" t="s">
        <v>542</v>
      </c>
      <c r="J19" s="121">
        <f>('Production Systems Parameters'!$E$6/12+'Production Systems Parameters'!$D$6/12)*1 +SUM(J14:J17)</f>
        <v>-1.2784000000000002</v>
      </c>
      <c r="K19" s="380">
        <f>('Production Systems Parameters'!D7+'Production Systems Parameters'!E7)/12*1+SUM(K14:K17)</f>
        <v>0.20239999999999991</v>
      </c>
      <c r="L19" s="380">
        <f>('Production Systems Parameters'!$E$8/12+'Production Systems Parameters'!$D$8/12)*1+SUM(L14:L17)</f>
        <v>1.0649000000000002</v>
      </c>
      <c r="M19" s="381">
        <f>('Production Systems Parameters'!$E$9/12+'Production Systems Parameters'!$D$9/12)*1+SUM(M14:M17)</f>
        <v>0.62319999999999998</v>
      </c>
      <c r="N19" s="381">
        <f>('Production Systems Parameters'!$E$10/12+'Production Systems Parameters'!$D$10/12)*1+SUM(N14:N17)</f>
        <v>1.4121499999999998</v>
      </c>
      <c r="O19" s="257" t="s">
        <v>529</v>
      </c>
      <c r="Q19" s="214" t="s">
        <v>542</v>
      </c>
      <c r="R19" s="81">
        <f>J29/('Production Systems Parameters'!$C$6*'Production Systems Parameters'!$C$21/100)</f>
        <v>1.2619840525328331E-2</v>
      </c>
      <c r="S19" s="81">
        <f>K29/('Production Systems Parameters'!$C$7*'Production Systems Parameters'!$C$21/100)</f>
        <v>5.6742495309568481E-3</v>
      </c>
      <c r="T19" s="81">
        <f>L29/('Production Systems Parameters'!$C$8*'Production Systems Parameters'!$C$21/100)</f>
        <v>1.5399113082039894E-3</v>
      </c>
      <c r="U19" s="81">
        <f>M29/('Production Systems Parameters'!$C$9*'Production Systems Parameters'!$C$21/100)</f>
        <v>3.810432262738468E-3</v>
      </c>
      <c r="V19" s="81">
        <f>N29/('Production Systems Parameters'!$C$10*'Production Systems Parameters'!$C$21/100)</f>
        <v>0</v>
      </c>
      <c r="W19" s="258" t="s">
        <v>530</v>
      </c>
      <c r="Y19" s="214" t="s">
        <v>542</v>
      </c>
      <c r="Z19" s="81">
        <f>R19*VLOOKUP('Monetization factors'!C$28,'Monetization factors'!C$6:J$28,7,FALSE)*$C$58*$C$60/$C$59^$C$60</f>
        <v>40.649408851868962</v>
      </c>
      <c r="AA19" s="81">
        <f>S19*VLOOKUP('Monetization factors'!C$28,'Monetization factors'!C$6:J$28,7,FALSE)*$C$58*$C$60/$C$59^$C$60</f>
        <v>18.277163538513864</v>
      </c>
      <c r="AB19" s="81">
        <f>T19*VLOOKUP('Monetization factors'!C$28,'Monetization factors'!C$6:J$28,7,FALSE)*$C$58*$C$60/$C$59^$C$60</f>
        <v>4.9601644519332613</v>
      </c>
      <c r="AC19" s="81">
        <f>U19*VLOOKUP('Monetization factors'!C$28,'Monetization factors'!C$6:J$28,7,FALSE)*$C$58*$C$60/$C$59^$C$60</f>
        <v>12.273674824934314</v>
      </c>
      <c r="AD19" s="81">
        <f>V19*VLOOKUP('Monetization factors'!C$28,'Monetization factors'!C$6:J$28,7,FALSE)*$C$58*$C$60/$C$59^$C$60</f>
        <v>0</v>
      </c>
      <c r="AE19" s="258" t="s">
        <v>169</v>
      </c>
      <c r="AI19" t="s">
        <v>543</v>
      </c>
      <c r="AJ19">
        <v>5</v>
      </c>
      <c r="AK19" t="s">
        <v>540</v>
      </c>
    </row>
    <row r="20" spans="2:41">
      <c r="B20" s="386" t="s">
        <v>12</v>
      </c>
      <c r="C20" s="17" t="s">
        <v>532</v>
      </c>
      <c r="D20" s="6">
        <v>-0.16270000000000001</v>
      </c>
      <c r="E20" s="6">
        <v>2.46E-2</v>
      </c>
      <c r="I20" s="211" t="s">
        <v>544</v>
      </c>
      <c r="J20" s="116">
        <f>('Production Systems Parameters'!D6+'Production Systems Parameters'!E6)/12</f>
        <v>1.3333333333333333</v>
      </c>
      <c r="K20" s="81">
        <f>('Production Systems Parameters'!D7+'Production Systems Parameters'!E7)/12</f>
        <v>1.5</v>
      </c>
      <c r="L20" s="81">
        <f>'Production Systems Parameters'!$E$8/12+'Production Systems Parameters'!$D$8/12</f>
        <v>1.9166666666666667</v>
      </c>
      <c r="M20" s="379">
        <f>'Production Systems Parameters'!$E$9/12+'Production Systems Parameters'!$D$9/12</f>
        <v>1.9166666666666667</v>
      </c>
      <c r="N20" s="379">
        <f>'Production Systems Parameters'!$E$10/12+'Production Systems Parameters'!$D$10/12</f>
        <v>2.5416666666666665</v>
      </c>
      <c r="O20" s="258" t="s">
        <v>529</v>
      </c>
      <c r="AI20" t="s">
        <v>545</v>
      </c>
      <c r="AJ20">
        <v>1</v>
      </c>
      <c r="AK20" t="s">
        <v>546</v>
      </c>
    </row>
    <row r="21" spans="2:41">
      <c r="B21" s="386"/>
      <c r="C21" s="14" t="s">
        <v>533</v>
      </c>
      <c r="D21" s="6">
        <v>-0.21790000000000001</v>
      </c>
      <c r="E21" s="6">
        <v>2.6200000000000001E-2</v>
      </c>
    </row>
    <row r="22" spans="2:41" ht="18.75">
      <c r="B22" s="386"/>
      <c r="C22" s="15" t="s">
        <v>535</v>
      </c>
      <c r="D22" s="6">
        <v>-0.3422</v>
      </c>
      <c r="E22" s="6">
        <v>2.1000000000000001E-2</v>
      </c>
      <c r="I22" s="91" t="s">
        <v>547</v>
      </c>
      <c r="AI22" s="248" t="s">
        <v>548</v>
      </c>
    </row>
    <row r="23" spans="2:41">
      <c r="B23" s="386"/>
      <c r="C23" s="16" t="s">
        <v>537</v>
      </c>
      <c r="D23" s="6">
        <v>-0.73919999999999997</v>
      </c>
      <c r="E23" s="6">
        <v>3.1E-2</v>
      </c>
      <c r="I23" s="97"/>
      <c r="J23" s="149" t="s">
        <v>138</v>
      </c>
      <c r="K23" s="149" t="s">
        <v>139</v>
      </c>
      <c r="L23" s="149" t="s">
        <v>140</v>
      </c>
      <c r="M23" s="149" t="s">
        <v>141</v>
      </c>
      <c r="N23" s="149" t="s">
        <v>142</v>
      </c>
      <c r="O23" s="256" t="s">
        <v>10</v>
      </c>
    </row>
    <row r="24" spans="2:41">
      <c r="B24" s="7"/>
      <c r="C24" s="14"/>
      <c r="D24" s="6"/>
      <c r="E24" s="6"/>
      <c r="I24" s="213" t="s">
        <v>528</v>
      </c>
      <c r="J24">
        <f>ABS(J14-INDEX($J14:$N14,1,MATCH(MAX($J$19:$N$19),$J$19:$N$19,0)))</f>
        <v>5.9345833333333375E-2</v>
      </c>
      <c r="K24">
        <f t="shared" ref="K24:N24" si="0">ABS(K14-INDEX($J14:$N14,1,MATCH(MAX($J$19:$N$19),$J$19:$N$19,0)))</f>
        <v>4.9520833333333347E-2</v>
      </c>
      <c r="L24">
        <f t="shared" si="0"/>
        <v>6.4062499999999994E-2</v>
      </c>
      <c r="M24">
        <f t="shared" si="0"/>
        <v>2.3987499999999995E-2</v>
      </c>
      <c r="N24">
        <f t="shared" si="0"/>
        <v>0</v>
      </c>
      <c r="O24" s="257" t="s">
        <v>529</v>
      </c>
      <c r="AI24" s="118" t="s">
        <v>111</v>
      </c>
      <c r="AJ24" s="149" t="s">
        <v>138</v>
      </c>
      <c r="AK24" s="149" t="s">
        <v>139</v>
      </c>
      <c r="AL24" s="149" t="s">
        <v>140</v>
      </c>
      <c r="AM24" s="149" t="s">
        <v>549</v>
      </c>
      <c r="AN24" s="126" t="s">
        <v>142</v>
      </c>
      <c r="AO24" s="89"/>
    </row>
    <row r="25" spans="2:41">
      <c r="B25" s="386" t="s">
        <v>78</v>
      </c>
      <c r="C25" s="17" t="s">
        <v>532</v>
      </c>
      <c r="D25" s="388">
        <v>-6.4399999999999999E-2</v>
      </c>
      <c r="E25" s="6">
        <v>2.0299999999999999E-2</v>
      </c>
      <c r="I25" s="213" t="s">
        <v>12</v>
      </c>
      <c r="J25">
        <f t="shared" ref="J25:N25" si="1">ABS(J15-INDEX($J15:$N15,1,MATCH(MAX($J$19:$N$19),$J$19:$N$19,0)))</f>
        <v>0.30740416666666665</v>
      </c>
      <c r="K25">
        <f t="shared" si="1"/>
        <v>1.1979166666666707E-2</v>
      </c>
      <c r="L25">
        <f t="shared" si="1"/>
        <v>0.10168749999999999</v>
      </c>
      <c r="M25">
        <f t="shared" si="1"/>
        <v>8.5624999999999729E-3</v>
      </c>
      <c r="N25">
        <f t="shared" si="1"/>
        <v>0</v>
      </c>
      <c r="O25" s="257" t="s">
        <v>529</v>
      </c>
      <c r="AI25" s="284" t="s">
        <v>550</v>
      </c>
      <c r="AJ25">
        <f>'Production Systems Parameters'!D6*100/('Production Systems Parameters'!D6+'Production Systems Parameters'!E6)</f>
        <v>0</v>
      </c>
      <c r="AK25">
        <f>'Production Systems Parameters'!D7*100/('Production Systems Parameters'!D7+'Production Systems Parameters'!E7)</f>
        <v>72.222222222222229</v>
      </c>
      <c r="AL25">
        <f>'Production Systems Parameters'!D8*100/('Production Systems Parameters'!D8+'Production Systems Parameters'!E8)</f>
        <v>100</v>
      </c>
      <c r="AM25">
        <f>'Production Systems Parameters'!D9*100/('Production Systems Parameters'!D9+'Production Systems Parameters'!E9)</f>
        <v>84.782608695652172</v>
      </c>
      <c r="AN25" s="80">
        <f>'Production Systems Parameters'!D10*100/('Production Systems Parameters'!D10+'Production Systems Parameters'!E10)</f>
        <v>100</v>
      </c>
    </row>
    <row r="26" spans="2:41">
      <c r="B26" s="386"/>
      <c r="C26" s="14" t="s">
        <v>533</v>
      </c>
      <c r="D26" s="6">
        <v>-0.14399999999999999</v>
      </c>
      <c r="E26" s="6">
        <v>1.9099999999999999E-2</v>
      </c>
      <c r="I26" s="213" t="s">
        <v>78</v>
      </c>
      <c r="J26">
        <f t="shared" ref="J26:N26" si="2">ABS(J16-INDEX($J16:$N16,1,MATCH(MAX($J$19:$N$19),$J$19:$N$19,0)))</f>
        <v>0.23311666666666667</v>
      </c>
      <c r="K26">
        <f t="shared" si="2"/>
        <v>3.0083333333333323E-2</v>
      </c>
      <c r="L26">
        <f t="shared" si="2"/>
        <v>4.024999999999998E-2</v>
      </c>
      <c r="M26">
        <f t="shared" si="2"/>
        <v>2.7766666666666662E-2</v>
      </c>
      <c r="N26">
        <f t="shared" si="2"/>
        <v>0</v>
      </c>
      <c r="O26" s="257" t="s">
        <v>529</v>
      </c>
      <c r="AI26" s="266" t="s">
        <v>551</v>
      </c>
      <c r="AJ26" t="s">
        <v>552</v>
      </c>
      <c r="AK26" t="s">
        <v>553</v>
      </c>
      <c r="AL26" t="s">
        <v>553</v>
      </c>
      <c r="AM26" t="s">
        <v>553</v>
      </c>
      <c r="AN26" s="80" t="s">
        <v>553</v>
      </c>
    </row>
    <row r="27" spans="2:41">
      <c r="B27" s="386"/>
      <c r="C27" s="15" t="s">
        <v>535</v>
      </c>
      <c r="D27" s="6">
        <v>-0.29759999999999998</v>
      </c>
      <c r="E27" s="6">
        <v>2.35E-2</v>
      </c>
      <c r="I27" s="213" t="s">
        <v>536</v>
      </c>
      <c r="J27">
        <f t="shared" ref="J27:N27" si="3">ABS(J17-INDEX($J17:$N17,1,MATCH(MAX($J$19:$N$19),$J$19:$N$19,0)))</f>
        <v>0.88235000000000019</v>
      </c>
      <c r="K27">
        <f t="shared" si="3"/>
        <v>0.19950000000000007</v>
      </c>
      <c r="L27">
        <f t="shared" si="3"/>
        <v>7.1750000000000008E-2</v>
      </c>
      <c r="M27">
        <f t="shared" si="3"/>
        <v>0.15160833333333334</v>
      </c>
      <c r="N27">
        <f t="shared" si="3"/>
        <v>0</v>
      </c>
      <c r="O27" s="257" t="s">
        <v>529</v>
      </c>
      <c r="AI27" s="266" t="s">
        <v>554</v>
      </c>
      <c r="AJ27">
        <v>0</v>
      </c>
      <c r="AK27">
        <f>(6.8136+1.9435*AK25-0.016979*AK25^2+0.000068633*AK25^3)/100</f>
        <v>0.84469244890260653</v>
      </c>
      <c r="AL27">
        <f>(6.8136+1.9435*AL25-0.016979*AL25^2+0.000068633*AL25^3)/100</f>
        <v>1.0000659999999999</v>
      </c>
      <c r="AM27">
        <f>(6.8136+1.9435*AM25-0.016979*AM25^2+0.000068633*AM25^3)/100</f>
        <v>0.91368679179337564</v>
      </c>
      <c r="AN27" s="80">
        <f>(6.8136+1.9435*AN25-0.016979*AN25^2+0.000068633*AN25^3)/100</f>
        <v>1.0000659999999999</v>
      </c>
    </row>
    <row r="28" spans="2:41">
      <c r="B28" s="386"/>
      <c r="C28" s="16" t="s">
        <v>537</v>
      </c>
      <c r="D28" s="6">
        <v>-0.85019999999999996</v>
      </c>
      <c r="E28" s="6">
        <v>4.8800000000000003E-2</v>
      </c>
      <c r="I28" s="213" t="s">
        <v>538</v>
      </c>
      <c r="J28">
        <f>J29-SUM(J24:J27)</f>
        <v>1.208333333333333</v>
      </c>
      <c r="K28">
        <f t="shared" ref="K28:N28" si="4">K29-SUM(K24:K27)</f>
        <v>0.91866666666666641</v>
      </c>
      <c r="L28">
        <f t="shared" si="4"/>
        <v>6.9499999999999673E-2</v>
      </c>
      <c r="M28">
        <f t="shared" si="4"/>
        <v>0.5770249999999999</v>
      </c>
      <c r="N28">
        <f t="shared" si="4"/>
        <v>0</v>
      </c>
      <c r="O28" s="257" t="s">
        <v>529</v>
      </c>
      <c r="AI28" s="118"/>
      <c r="AJ28" s="96"/>
      <c r="AK28" s="96"/>
      <c r="AL28" s="96"/>
      <c r="AM28" s="96"/>
      <c r="AN28" s="98"/>
    </row>
    <row r="29" spans="2:41">
      <c r="B29" s="7"/>
      <c r="C29" s="14"/>
      <c r="D29" s="6"/>
      <c r="E29" s="6"/>
      <c r="I29" s="214" t="s">
        <v>542</v>
      </c>
      <c r="J29" s="81">
        <f t="shared" ref="J29:N29" si="5">ABS(J19-INDEX($J19:$N19,1,MATCH(MAX($J$19:$N$19),$J$19:$N$19,0)))</f>
        <v>2.69055</v>
      </c>
      <c r="K29" s="81">
        <f t="shared" si="5"/>
        <v>1.2097499999999999</v>
      </c>
      <c r="L29" s="81">
        <f t="shared" si="5"/>
        <v>0.34724999999999961</v>
      </c>
      <c r="M29" s="81">
        <f t="shared" si="5"/>
        <v>0.78894999999999982</v>
      </c>
      <c r="N29" s="81">
        <f t="shared" si="5"/>
        <v>0</v>
      </c>
      <c r="O29" s="258" t="s">
        <v>529</v>
      </c>
      <c r="AI29" s="285" t="s">
        <v>555</v>
      </c>
      <c r="AJ29">
        <f>'Production Systems Parameters'!D6/12+'Production Systems Parameters'!E6/12</f>
        <v>1.3333333333333333</v>
      </c>
      <c r="AK29">
        <f>'Production Systems Parameters'!D7/12+'Production Systems Parameters'!E7/12</f>
        <v>1.5</v>
      </c>
      <c r="AL29">
        <f>'Production Systems Parameters'!D8/12+'Production Systems Parameters'!E8/12</f>
        <v>1.9166666666666667</v>
      </c>
      <c r="AM29">
        <f>'Production Systems Parameters'!D9/12+'Production Systems Parameters'!E9/12</f>
        <v>1.9166666666666667</v>
      </c>
      <c r="AN29" s="80">
        <f>'Production Systems Parameters'!D10/12+'Production Systems Parameters'!E10/12</f>
        <v>2.5416666666666665</v>
      </c>
    </row>
    <row r="30" spans="2:41">
      <c r="B30" s="384" t="s">
        <v>536</v>
      </c>
      <c r="C30" s="17" t="s">
        <v>532</v>
      </c>
      <c r="D30" s="6">
        <v>-0.1148</v>
      </c>
      <c r="E30" s="6">
        <v>2.64E-2</v>
      </c>
      <c r="I30" s="89"/>
      <c r="O30" s="255"/>
      <c r="AI30" s="266" t="s">
        <v>556</v>
      </c>
      <c r="AJ30">
        <f>AJ29/$AJ$19</f>
        <v>0.26666666666666666</v>
      </c>
      <c r="AK30">
        <f t="shared" ref="AK30:AN30" si="6">AK29/$AJ$19</f>
        <v>0.3</v>
      </c>
      <c r="AL30">
        <f t="shared" si="6"/>
        <v>0.38333333333333336</v>
      </c>
      <c r="AM30">
        <f t="shared" si="6"/>
        <v>0.38333333333333336</v>
      </c>
      <c r="AN30" s="80">
        <f t="shared" si="6"/>
        <v>0.5083333333333333</v>
      </c>
    </row>
    <row r="31" spans="2:41">
      <c r="B31" s="384"/>
      <c r="C31" s="14" t="s">
        <v>533</v>
      </c>
      <c r="D31" s="6">
        <v>-0.25290000000000001</v>
      </c>
      <c r="E31" s="6">
        <v>2.2200000000000001E-2</v>
      </c>
      <c r="AI31" s="285" t="s">
        <v>557</v>
      </c>
      <c r="AJ31">
        <f>1/('Production Systems Parameters'!C6*'Production Systems Parameters'!$C$21/100)</f>
        <v>4.6904315196998128E-3</v>
      </c>
      <c r="AK31">
        <f>1/('Production Systems Parameters'!C7*'Production Systems Parameters'!$C$21/100)</f>
        <v>4.6904315196998128E-3</v>
      </c>
      <c r="AL31">
        <f>1/('Production Systems Parameters'!C8*'Production Systems Parameters'!$C$21/100)</f>
        <v>4.434589800443459E-3</v>
      </c>
      <c r="AM31">
        <f>1/('Production Systems Parameters'!C9*'Production Systems Parameters'!$C$21/100)</f>
        <v>4.8297512678097078E-3</v>
      </c>
      <c r="AN31" s="80">
        <f>1/('Production Systems Parameters'!C10*'Production Systems Parameters'!$C$21/100)</f>
        <v>4.8297512678097078E-3</v>
      </c>
    </row>
    <row r="32" spans="2:41">
      <c r="B32" s="384"/>
      <c r="C32" s="15" t="s">
        <v>535</v>
      </c>
      <c r="D32" s="6">
        <v>-0.36969999999999997</v>
      </c>
      <c r="E32" s="6">
        <v>2.5600000000000001E-2</v>
      </c>
      <c r="AI32" s="266" t="s">
        <v>558</v>
      </c>
      <c r="AJ32">
        <f>$AJ$20/(AJ29*365)</f>
        <v>2.0547945205479454E-3</v>
      </c>
      <c r="AK32">
        <f t="shared" ref="AK32:AN32" si="7">$AJ$20/(AK29*365)</f>
        <v>1.8264840182648401E-3</v>
      </c>
      <c r="AL32">
        <f t="shared" si="7"/>
        <v>1.4294222751637879E-3</v>
      </c>
      <c r="AM32">
        <f t="shared" si="7"/>
        <v>1.4294222751637879E-3</v>
      </c>
      <c r="AN32">
        <f t="shared" si="7"/>
        <v>1.0779249943858075E-3</v>
      </c>
    </row>
    <row r="33" spans="2:40">
      <c r="B33" s="387"/>
      <c r="C33" s="18" t="s">
        <v>537</v>
      </c>
      <c r="D33" s="9">
        <v>-0.88060000000000005</v>
      </c>
      <c r="E33" s="9">
        <v>4.8800000000000003E-2</v>
      </c>
      <c r="AI33" s="117"/>
      <c r="AJ33" s="96"/>
      <c r="AK33" s="96"/>
      <c r="AL33" s="96"/>
      <c r="AM33" s="96"/>
      <c r="AN33" s="98"/>
    </row>
    <row r="34" spans="2:40">
      <c r="B34" s="4" t="s">
        <v>92</v>
      </c>
      <c r="AI34" s="266" t="s">
        <v>559</v>
      </c>
      <c r="AJ34">
        <f>AJ31*(1-AJ30)</f>
        <v>3.4396497811131962E-3</v>
      </c>
      <c r="AK34">
        <f>AK31*(1-AK30)</f>
        <v>3.2833020637898689E-3</v>
      </c>
      <c r="AL34">
        <f t="shared" ref="AK34:AN34" si="8">AL31*(1-AL30)</f>
        <v>2.7346637102734664E-3</v>
      </c>
      <c r="AM34">
        <f t="shared" si="8"/>
        <v>2.9783466151493197E-3</v>
      </c>
      <c r="AN34">
        <f t="shared" si="8"/>
        <v>2.3746277066731066E-3</v>
      </c>
    </row>
    <row r="35" spans="2:40">
      <c r="B35" s="33" t="s">
        <v>512</v>
      </c>
      <c r="AI35" s="266" t="s">
        <v>560</v>
      </c>
      <c r="AJ35">
        <f>AJ31*((AJ30-AJ32)*(1-AJ27)+AJ32)</f>
        <v>1.2507817385866166E-3</v>
      </c>
      <c r="AK35">
        <f>AK31*((AK30-AK32)*(1-AK27)+AK32)</f>
        <v>2.2577430857170563E-4</v>
      </c>
      <c r="AL35">
        <f t="shared" ref="AK35:AN35" si="9">AL31*((AL30-AL32)*(1-AL27)+AL32)</f>
        <v>6.2271246875121377E-6</v>
      </c>
      <c r="AM35">
        <f t="shared" si="9"/>
        <v>1.6610854414514237E-4</v>
      </c>
      <c r="AN35">
        <f t="shared" si="9"/>
        <v>5.0444150564380007E-6</v>
      </c>
    </row>
    <row r="36" spans="2:40">
      <c r="B36" s="34" t="s">
        <v>513</v>
      </c>
      <c r="I36" s="155" t="s">
        <v>561</v>
      </c>
      <c r="AI36" s="266" t="s">
        <v>562</v>
      </c>
      <c r="AJ36">
        <f>AJ34+AJ35</f>
        <v>4.6904315196998128E-3</v>
      </c>
      <c r="AK36">
        <f t="shared" ref="AK36:AN36" si="10">AK34+AK35</f>
        <v>3.5090763723615746E-3</v>
      </c>
      <c r="AL36">
        <f t="shared" si="10"/>
        <v>2.7408908349609786E-3</v>
      </c>
      <c r="AM36">
        <f t="shared" si="10"/>
        <v>3.1444551592944622E-3</v>
      </c>
      <c r="AN36">
        <f t="shared" si="10"/>
        <v>2.3796721217295446E-3</v>
      </c>
    </row>
    <row r="37" spans="2:40">
      <c r="I37" s="97"/>
      <c r="J37" s="149" t="s">
        <v>138</v>
      </c>
      <c r="K37" s="149" t="s">
        <v>139</v>
      </c>
      <c r="L37" s="149" t="s">
        <v>140</v>
      </c>
      <c r="M37" s="149" t="s">
        <v>141</v>
      </c>
      <c r="N37" s="259" t="s">
        <v>142</v>
      </c>
      <c r="O37" s="256" t="s">
        <v>10</v>
      </c>
      <c r="AI37" s="117"/>
      <c r="AJ37" s="96"/>
      <c r="AK37" s="96"/>
      <c r="AL37" s="96"/>
      <c r="AM37" s="96"/>
      <c r="AN37" s="98"/>
    </row>
    <row r="38" spans="2:40">
      <c r="B38" s="4"/>
      <c r="I38" s="213" t="s">
        <v>563</v>
      </c>
      <c r="J38">
        <f>J14/$J$20</f>
        <v>-0.23990000000000003</v>
      </c>
      <c r="K38">
        <f>K14/$K$20</f>
        <v>-0.14066666666666663</v>
      </c>
      <c r="L38">
        <f>L14/$L$20</f>
        <v>-0.10249999999999999</v>
      </c>
      <c r="M38">
        <f>M14/$M$20</f>
        <v>-0.1234086956521739</v>
      </c>
      <c r="N38">
        <f>N14/$N$20</f>
        <v>-0.10249999999999999</v>
      </c>
      <c r="O38" s="257" t="s">
        <v>529</v>
      </c>
      <c r="AI38" s="266" t="s">
        <v>564</v>
      </c>
      <c r="AJ38">
        <f>AJ36*($C$58^$C$60/$C$59^$C$60)*VLOOKUP('Monetization factors'!C$27,'Monetization factors'!C$6:J$28,7,FALSE)</f>
        <v>12.08657229246629</v>
      </c>
      <c r="AK38">
        <f>AK36*($C$58^$C$60/$C$59^$C$60)*VLOOKUP('Monetization factors'!C$27,'Monetization factors'!C$6:J$28,7,FALSE)</f>
        <v>9.0423887602239077</v>
      </c>
      <c r="AL38">
        <f>AL36*($C$58^$C$60/$C$59^$C$60)*VLOOKUP('Monetization factors'!C$27,'Monetization factors'!C$6:J$28,7,FALSE)</f>
        <v>7.0628843174400169</v>
      </c>
      <c r="AM38">
        <f>AM36*($C$58^$C$60/$C$59^$C$60)*VLOOKUP('Monetization factors'!C$27,'Monetization factors'!C$6:J$28,7,FALSE)</f>
        <v>8.1028119574088731</v>
      </c>
      <c r="AN38">
        <f>AN36*($C$58^$C$60/$C$59^$C$60)*VLOOKUP('Monetization factors'!C$27,'Monetization factors'!C$6:J$28,7,FALSE)</f>
        <v>6.1320752708679453</v>
      </c>
    </row>
    <row r="39" spans="2:40">
      <c r="I39" s="213" t="s">
        <v>565</v>
      </c>
      <c r="J39">
        <f t="shared" ref="J39:J44" si="11">J15/$J$20</f>
        <v>-0.54070000000000007</v>
      </c>
      <c r="K39">
        <f t="shared" ref="K39:K44" si="12">K15/$K$20</f>
        <v>-0.26769999999999999</v>
      </c>
      <c r="L39">
        <f t="shared" ref="L39:L44" si="13">L15/$L$20</f>
        <v>-0.16270000000000001</v>
      </c>
      <c r="M39">
        <f t="shared" ref="M39:M44" si="14">M15/$M$20</f>
        <v>-0.22022173913043477</v>
      </c>
      <c r="N39">
        <f t="shared" ref="N39:N44" si="15">N15/$N$20</f>
        <v>-0.16270000000000001</v>
      </c>
      <c r="O39" s="257" t="s">
        <v>529</v>
      </c>
      <c r="AI39" s="266" t="s">
        <v>566</v>
      </c>
      <c r="AJ39">
        <f>AJ34*($C$58^$C$60/$C$59^$C$60)*VLOOKUP('Monetization factors'!C$27,'Monetization factors'!C$6:J$28,7,FALSE)</f>
        <v>8.8634863478086121</v>
      </c>
      <c r="AK39">
        <f>AK34*($C$58^$C$60/$C$59^$C$60)*VLOOKUP('Monetization factors'!C$27,'Monetization factors'!C$6:J$28,7,FALSE)</f>
        <v>8.4606006047264017</v>
      </c>
      <c r="AL39">
        <f>AL34*($C$58^$C$60/$C$59^$C$60)*VLOOKUP('Monetization factors'!C$27,'Monetization factors'!C$6:J$28,7,FALSE)</f>
        <v>7.0468379062742841</v>
      </c>
      <c r="AM39">
        <f>AM34*($C$58^$C$60/$C$59^$C$60)*VLOOKUP('Monetization factors'!C$27,'Monetization factors'!C$6:J$28,7,FALSE)</f>
        <v>7.6747739573284282</v>
      </c>
      <c r="AN39">
        <f>AN34*($C$58^$C$60/$C$59^$C$60)*VLOOKUP('Monetization factors'!C$27,'Monetization factors'!C$6:J$28,7,FALSE)</f>
        <v>6.1190765335456385</v>
      </c>
    </row>
    <row r="40" spans="2:40">
      <c r="B40" s="2" t="s">
        <v>567</v>
      </c>
      <c r="I40" s="213" t="s">
        <v>568</v>
      </c>
      <c r="J40">
        <f t="shared" si="11"/>
        <v>-0.29760000000000003</v>
      </c>
      <c r="K40">
        <f t="shared" si="12"/>
        <v>-0.12917777777777775</v>
      </c>
      <c r="L40">
        <f t="shared" si="13"/>
        <v>-6.4399999999999999E-2</v>
      </c>
      <c r="M40">
        <f t="shared" si="14"/>
        <v>-9.9886956521739123E-2</v>
      </c>
      <c r="N40">
        <f t="shared" si="15"/>
        <v>-6.4399999999999999E-2</v>
      </c>
      <c r="O40" s="257" t="s">
        <v>529</v>
      </c>
      <c r="AI40" s="211" t="s">
        <v>569</v>
      </c>
      <c r="AJ40" s="81">
        <f>AJ35*($C$58^$C$60/$C$59^$C$60)*VLOOKUP('Monetization factors'!C$27,'Monetization factors'!C$6:J$28,7,FALSE)</f>
        <v>3.2230859446576767</v>
      </c>
      <c r="AK40" s="81">
        <f>AK35*($C$58^$C$60/$C$59^$C$60)*VLOOKUP('Monetization factors'!C$27,'Monetization factors'!C$6:J$28,7,FALSE)</f>
        <v>0.58178815549750462</v>
      </c>
      <c r="AL40" s="81">
        <f>AL35*($C$58^$C$60/$C$59^$C$60)*VLOOKUP('Monetization factors'!C$27,'Monetization factors'!C$6:J$28,7,FALSE)</f>
        <v>1.6046411165732983E-2</v>
      </c>
      <c r="AM40" s="81">
        <f>AM35*($C$58^$C$60/$C$59^$C$60)*VLOOKUP('Monetization factors'!C$27,'Monetization factors'!C$6:J$28,7,FALSE)</f>
        <v>0.42803800008044524</v>
      </c>
      <c r="AN40" s="81">
        <f>AN35*($C$58^$C$60/$C$59^$C$60)*VLOOKUP('Monetization factors'!C$27,'Monetization factors'!C$6:J$28,7,FALSE)</f>
        <v>1.2998737322306192E-2</v>
      </c>
    </row>
    <row r="41" spans="2:40">
      <c r="B41" t="s">
        <v>570</v>
      </c>
      <c r="I41" s="213" t="s">
        <v>571</v>
      </c>
      <c r="J41">
        <f t="shared" si="11"/>
        <v>-0.88060000000000016</v>
      </c>
      <c r="K41">
        <f t="shared" si="12"/>
        <v>-0.32752222222222227</v>
      </c>
      <c r="L41">
        <f t="shared" si="13"/>
        <v>-0.1148</v>
      </c>
      <c r="M41">
        <f t="shared" si="14"/>
        <v>-0.23133478260869567</v>
      </c>
      <c r="N41">
        <f t="shared" si="15"/>
        <v>-0.11480000000000001</v>
      </c>
      <c r="O41" s="257" t="s">
        <v>529</v>
      </c>
    </row>
    <row r="42" spans="2:40">
      <c r="B42" s="24" t="s">
        <v>572</v>
      </c>
      <c r="C42" s="12" t="s">
        <v>573</v>
      </c>
      <c r="D42" s="12" t="s">
        <v>574</v>
      </c>
      <c r="I42" s="213" t="s">
        <v>538</v>
      </c>
      <c r="J42" s="127" t="s">
        <v>291</v>
      </c>
      <c r="K42" s="127" t="s">
        <v>291</v>
      </c>
      <c r="L42" s="127" t="s">
        <v>291</v>
      </c>
      <c r="M42" s="127" t="s">
        <v>291</v>
      </c>
      <c r="N42" s="127" t="s">
        <v>291</v>
      </c>
      <c r="O42" s="257" t="s">
        <v>529</v>
      </c>
    </row>
    <row r="43" spans="2:40">
      <c r="B43" s="25" t="s">
        <v>528</v>
      </c>
      <c r="C43" s="21" t="s">
        <v>535</v>
      </c>
      <c r="D43" s="19" t="s">
        <v>532</v>
      </c>
      <c r="I43" s="213" t="s">
        <v>575</v>
      </c>
      <c r="J43">
        <f t="shared" si="11"/>
        <v>-0.95880000000000021</v>
      </c>
      <c r="K43">
        <f t="shared" si="12"/>
        <v>0.13493333333333327</v>
      </c>
      <c r="L43">
        <f t="shared" si="13"/>
        <v>0.55560000000000009</v>
      </c>
      <c r="M43">
        <f t="shared" si="14"/>
        <v>0.32514782608695647</v>
      </c>
      <c r="N43">
        <f t="shared" si="15"/>
        <v>0.55559999999999998</v>
      </c>
      <c r="O43" s="257" t="s">
        <v>529</v>
      </c>
    </row>
    <row r="44" spans="2:40">
      <c r="B44" s="26"/>
      <c r="C44" s="9">
        <f>VLOOKUP(C43,C15:D18,2,FALSE)</f>
        <v>-0.2399</v>
      </c>
      <c r="D44" s="9">
        <f>VLOOKUP(D43,C15:D18,2,FALSE)</f>
        <v>-0.10249999999999999</v>
      </c>
      <c r="I44" s="214" t="s">
        <v>576</v>
      </c>
      <c r="J44" s="81">
        <f t="shared" si="11"/>
        <v>1</v>
      </c>
      <c r="K44" s="81">
        <f t="shared" si="12"/>
        <v>1</v>
      </c>
      <c r="L44" s="81">
        <f t="shared" si="13"/>
        <v>1</v>
      </c>
      <c r="M44" s="81">
        <f t="shared" si="14"/>
        <v>1</v>
      </c>
      <c r="N44" s="81">
        <f t="shared" si="15"/>
        <v>1</v>
      </c>
      <c r="O44" s="258" t="s">
        <v>529</v>
      </c>
    </row>
    <row r="45" spans="2:40">
      <c r="B45" s="25" t="s">
        <v>12</v>
      </c>
      <c r="C45" s="22" t="s">
        <v>577</v>
      </c>
      <c r="D45" s="19" t="s">
        <v>532</v>
      </c>
      <c r="I45" s="155" t="s">
        <v>578</v>
      </c>
      <c r="O45" s="255"/>
    </row>
    <row r="46" spans="2:40">
      <c r="B46" s="26"/>
      <c r="C46" s="9">
        <f>AVERAGE(D22,D23)</f>
        <v>-0.54069999999999996</v>
      </c>
      <c r="D46" s="9">
        <f>VLOOKUP(D45,C20:D23,2,FALSE)</f>
        <v>-0.16270000000000001</v>
      </c>
      <c r="I46" t="s">
        <v>579</v>
      </c>
    </row>
    <row r="47" spans="2:40">
      <c r="B47" s="25" t="s">
        <v>78</v>
      </c>
      <c r="C47" s="21" t="s">
        <v>535</v>
      </c>
      <c r="D47" s="19" t="s">
        <v>532</v>
      </c>
    </row>
    <row r="48" spans="2:40">
      <c r="B48" s="26"/>
      <c r="C48" s="9">
        <f>VLOOKUP(C47,C25:D28,2,FALSE)</f>
        <v>-0.29759999999999998</v>
      </c>
      <c r="D48" s="9">
        <f>VLOOKUP(D47,C25:D28,2,FALSE)</f>
        <v>-6.4399999999999999E-2</v>
      </c>
    </row>
    <row r="49" spans="2:15">
      <c r="B49" s="25" t="s">
        <v>536</v>
      </c>
      <c r="C49" s="23" t="s">
        <v>537</v>
      </c>
      <c r="D49" s="19" t="s">
        <v>532</v>
      </c>
      <c r="I49" s="155" t="s">
        <v>580</v>
      </c>
    </row>
    <row r="50" spans="2:15">
      <c r="B50" s="26"/>
      <c r="C50" s="9">
        <f>VLOOKUP(C49,C30:D33,2,FALSE)</f>
        <v>-0.88060000000000005</v>
      </c>
      <c r="D50" s="9">
        <f>VLOOKUP(D49,C30:D33,2,FALSE)</f>
        <v>-0.1148</v>
      </c>
    </row>
    <row r="51" spans="2:15">
      <c r="B51" s="4" t="s">
        <v>92</v>
      </c>
    </row>
    <row r="52" spans="2:15">
      <c r="B52" s="33" t="s">
        <v>512</v>
      </c>
    </row>
    <row r="53" spans="2:15">
      <c r="B53" s="34" t="s">
        <v>513</v>
      </c>
    </row>
    <row r="54" spans="2:15">
      <c r="I54" s="89"/>
      <c r="O54" s="255"/>
    </row>
    <row r="55" spans="2:15" ht="15.75" customHeight="1">
      <c r="B55" s="34"/>
    </row>
    <row r="56" spans="2:15">
      <c r="B56" s="2" t="s">
        <v>581</v>
      </c>
    </row>
    <row r="57" spans="2:15">
      <c r="B57" s="24" t="s">
        <v>191</v>
      </c>
      <c r="C57" s="11" t="s">
        <v>193</v>
      </c>
      <c r="D57" s="24" t="s">
        <v>10</v>
      </c>
      <c r="E57" s="12" t="s">
        <v>103</v>
      </c>
    </row>
    <row r="58" spans="2:15">
      <c r="B58" s="36" t="s">
        <v>582</v>
      </c>
      <c r="C58" s="29">
        <f>790 * 10^6</f>
        <v>790000000</v>
      </c>
      <c r="D58" s="36" t="s">
        <v>583</v>
      </c>
      <c r="E58" s="31" t="s">
        <v>584</v>
      </c>
    </row>
    <row r="59" spans="2:15">
      <c r="B59" s="36" t="s">
        <v>585</v>
      </c>
      <c r="C59" s="29">
        <f>24526 * 10^6</f>
        <v>24526000000</v>
      </c>
      <c r="D59" s="36" t="s">
        <v>583</v>
      </c>
      <c r="E59" s="31" t="s">
        <v>584</v>
      </c>
    </row>
    <row r="60" spans="2:15">
      <c r="B60" s="26" t="s">
        <v>586</v>
      </c>
      <c r="C60" s="8">
        <v>1</v>
      </c>
      <c r="D60" s="26"/>
      <c r="E60" s="9"/>
    </row>
    <row r="61" spans="2:15">
      <c r="B61" s="4" t="s">
        <v>369</v>
      </c>
      <c r="D61" s="27"/>
    </row>
    <row r="62" spans="2:15">
      <c r="B62" s="3" t="s">
        <v>587</v>
      </c>
    </row>
    <row r="63" spans="2:15">
      <c r="B63" t="s">
        <v>588</v>
      </c>
    </row>
    <row r="64" spans="2:15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</sheetData>
  <mergeCells count="10">
    <mergeCell ref="B15:B18"/>
    <mergeCell ref="B20:B23"/>
    <mergeCell ref="B25:B28"/>
    <mergeCell ref="B30:B33"/>
    <mergeCell ref="AI10:AO10"/>
    <mergeCell ref="I10:O10"/>
    <mergeCell ref="Q10:W10"/>
    <mergeCell ref="Y10:AE10"/>
    <mergeCell ref="B2:J2"/>
    <mergeCell ref="B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Adele Soulier</dc:creator>
  <cp:keywords/>
  <dc:description/>
  <cp:lastModifiedBy/>
  <cp:revision/>
  <dcterms:created xsi:type="dcterms:W3CDTF">2026-09-10T11:36:00Z</dcterms:created>
  <dcterms:modified xsi:type="dcterms:W3CDTF">2026-10-13T09:39:10Z</dcterms:modified>
  <cp:category/>
  <cp:contentStatus/>
</cp:coreProperties>
</file>